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s\Desktop\"/>
    </mc:Choice>
  </mc:AlternateContent>
  <xr:revisionPtr revIDLastSave="0" documentId="13_ncr:1_{BA6135DB-697F-4030-8ABF-6C360A556D3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ECETAS" sheetId="1" r:id="rId1"/>
    <sheet name="FINANCIERO" sheetId="2" r:id="rId2"/>
    <sheet name="CMV DIARIO" sheetId="3" r:id="rId3"/>
    <sheet name="CMV TOTAL 12-2025" sheetId="4" state="hidden" r:id="rId4"/>
    <sheet name="CMV TOTAL 01-2026" sheetId="5" state="hidden" r:id="rId5"/>
    <sheet name="CMV TOTAL 02-2026" sheetId="6" r:id="rId6"/>
    <sheet name="ResumenVentas" sheetId="7" state="hidden" r:id="rId7"/>
    <sheet name="EERR" sheetId="8" r:id="rId8"/>
    <sheet name="Base de Datos" sheetId="16" state="hidden" r:id="rId9"/>
    <sheet name="Agosto 2025" sheetId="17" state="hidden" r:id="rId10"/>
    <sheet name="Julio 2025" sheetId="18" state="hidden" r:id="rId11"/>
    <sheet name="Junio 2025" sheetId="19" state="hidden" r:id="rId12"/>
    <sheet name="EEMM-COMPETENCIA" sheetId="20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20" l="1"/>
  <c r="D98" i="20"/>
  <c r="D33" i="19"/>
  <c r="E33" i="19" s="1"/>
  <c r="E34" i="19" s="1"/>
  <c r="C33" i="19"/>
  <c r="D32" i="19"/>
  <c r="C32" i="19"/>
  <c r="E31" i="19"/>
  <c r="E30" i="19"/>
  <c r="E29" i="19"/>
  <c r="E28" i="19"/>
  <c r="E27" i="19"/>
  <c r="E26" i="19"/>
  <c r="E25" i="19"/>
  <c r="E24" i="19"/>
  <c r="E23" i="19"/>
  <c r="E22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32" i="19" s="1"/>
  <c r="D34" i="18"/>
  <c r="E34" i="18" s="1"/>
  <c r="E35" i="18" s="1"/>
  <c r="C34" i="18"/>
  <c r="D33" i="18"/>
  <c r="C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E33" i="18" s="1"/>
  <c r="D35" i="17"/>
  <c r="E35" i="17" s="1"/>
  <c r="E36" i="17" s="1"/>
  <c r="C35" i="17"/>
  <c r="D34" i="17"/>
  <c r="C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34" i="17" s="1"/>
  <c r="F2" i="8" s="1"/>
  <c r="F3" i="8"/>
  <c r="F4" i="8"/>
  <c r="F5" i="8"/>
  <c r="F6" i="8"/>
  <c r="F4" i="5"/>
  <c r="E4" i="5"/>
  <c r="E43" i="5" s="1"/>
  <c r="F4" i="6"/>
  <c r="E4" i="6"/>
  <c r="E43" i="6" s="1"/>
  <c r="C28" i="8"/>
  <c r="C27" i="8"/>
  <c r="B26" i="8"/>
  <c r="B29" i="8" s="1"/>
  <c r="C25" i="8"/>
  <c r="C24" i="8"/>
  <c r="C23" i="8"/>
  <c r="C22" i="8"/>
  <c r="C21" i="8"/>
  <c r="C20" i="8"/>
  <c r="C19" i="8"/>
  <c r="C26" i="8" s="1"/>
  <c r="C29" i="8" s="1"/>
  <c r="B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18" i="8" s="1"/>
  <c r="C42" i="6"/>
  <c r="D42" i="6" s="1"/>
  <c r="C41" i="6"/>
  <c r="B41" i="6"/>
  <c r="A41" i="6"/>
  <c r="C40" i="6"/>
  <c r="B40" i="6"/>
  <c r="A40" i="6"/>
  <c r="C39" i="6"/>
  <c r="B39" i="6"/>
  <c r="A39" i="6"/>
  <c r="C38" i="6"/>
  <c r="B38" i="6"/>
  <c r="A38" i="6"/>
  <c r="C37" i="6"/>
  <c r="B37" i="6"/>
  <c r="A37" i="6"/>
  <c r="C36" i="6"/>
  <c r="B36" i="6"/>
  <c r="A36" i="6"/>
  <c r="C35" i="6"/>
  <c r="B35" i="6"/>
  <c r="A35" i="6"/>
  <c r="C34" i="6"/>
  <c r="B34" i="6"/>
  <c r="A34" i="6"/>
  <c r="C33" i="6"/>
  <c r="B33" i="6"/>
  <c r="A33" i="6"/>
  <c r="C32" i="6"/>
  <c r="B32" i="6"/>
  <c r="A32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C5" i="6"/>
  <c r="B5" i="6"/>
  <c r="A5" i="6"/>
  <c r="C4" i="6"/>
  <c r="B4" i="6"/>
  <c r="A4" i="6"/>
  <c r="B3" i="6"/>
  <c r="A3" i="6"/>
  <c r="C42" i="5"/>
  <c r="D42" i="5" s="1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C4" i="5"/>
  <c r="B4" i="5"/>
  <c r="A4" i="5"/>
  <c r="B3" i="5"/>
  <c r="A3" i="5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B3" i="4"/>
  <c r="A3" i="4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F4" i="3"/>
  <c r="E4" i="3"/>
  <c r="E34" i="3" s="1"/>
  <c r="C4" i="3"/>
  <c r="B4" i="3"/>
  <c r="A4" i="3"/>
  <c r="B3" i="3"/>
  <c r="A3" i="3"/>
  <c r="C2" i="3"/>
  <c r="D64" i="2"/>
  <c r="D63" i="2"/>
  <c r="D62" i="2"/>
  <c r="D61" i="2"/>
  <c r="D60" i="2"/>
  <c r="D59" i="2"/>
  <c r="D58" i="2"/>
  <c r="D278" i="1" s="1"/>
  <c r="E278" i="1" s="1"/>
  <c r="D57" i="2"/>
  <c r="D56" i="2"/>
  <c r="D55" i="2"/>
  <c r="D54" i="2"/>
  <c r="D52" i="2"/>
  <c r="D273" i="1" s="1"/>
  <c r="E273" i="1" s="1"/>
  <c r="E274" i="1" s="1"/>
  <c r="D51" i="2"/>
  <c r="D50" i="2"/>
  <c r="D280" i="1" s="1"/>
  <c r="E280" i="1" s="1"/>
  <c r="E281" i="1" s="1"/>
  <c r="D49" i="2"/>
  <c r="D275" i="1" s="1"/>
  <c r="E275" i="1" s="1"/>
  <c r="E276" i="1" s="1"/>
  <c r="D48" i="2"/>
  <c r="B45" i="2"/>
  <c r="D45" i="2" s="1"/>
  <c r="B44" i="2"/>
  <c r="D44" i="2" s="1"/>
  <c r="D43" i="2"/>
  <c r="D267" i="1" s="1"/>
  <c r="E267" i="1" s="1"/>
  <c r="E268" i="1" s="1"/>
  <c r="D42" i="2"/>
  <c r="D41" i="2"/>
  <c r="D263" i="1" s="1"/>
  <c r="E263" i="1" s="1"/>
  <c r="E264" i="1" s="1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148" i="1" s="1"/>
  <c r="E148" i="1" s="1"/>
  <c r="D23" i="2"/>
  <c r="D22" i="2"/>
  <c r="D154" i="1" s="1"/>
  <c r="E154" i="1" s="1"/>
  <c r="D21" i="2"/>
  <c r="D20" i="2"/>
  <c r="D282" i="1" s="1"/>
  <c r="E282" i="1" s="1"/>
  <c r="E283" i="1" s="1"/>
  <c r="D19" i="2"/>
  <c r="D18" i="2"/>
  <c r="D74" i="1" s="1"/>
  <c r="E74" i="1" s="1"/>
  <c r="D17" i="2"/>
  <c r="D16" i="2"/>
  <c r="D15" i="2"/>
  <c r="D106" i="1" s="1"/>
  <c r="E106" i="1" s="1"/>
  <c r="D14" i="2"/>
  <c r="D13" i="2"/>
  <c r="D12" i="2"/>
  <c r="D11" i="2"/>
  <c r="D10" i="2"/>
  <c r="D9" i="2"/>
  <c r="D8" i="2"/>
  <c r="D7" i="2"/>
  <c r="B6" i="2"/>
  <c r="D6" i="2" s="1"/>
  <c r="D137" i="1" s="1"/>
  <c r="E137" i="1" s="1"/>
  <c r="D5" i="2"/>
  <c r="B4" i="2"/>
  <c r="D4" i="2" s="1"/>
  <c r="B3" i="2"/>
  <c r="D3" i="2" s="1"/>
  <c r="D288" i="1"/>
  <c r="E288" i="1" s="1"/>
  <c r="E289" i="1" s="1"/>
  <c r="D286" i="1"/>
  <c r="E286" i="1" s="1"/>
  <c r="E287" i="1" s="1"/>
  <c r="D284" i="1"/>
  <c r="E284" i="1" s="1"/>
  <c r="E285" i="1" s="1"/>
  <c r="D261" i="1"/>
  <c r="E261" i="1" s="1"/>
  <c r="E262" i="1" s="1"/>
  <c r="D259" i="1"/>
  <c r="E259" i="1" s="1"/>
  <c r="E260" i="1" s="1"/>
  <c r="D257" i="1"/>
  <c r="E257" i="1" s="1"/>
  <c r="D256" i="1"/>
  <c r="E256" i="1" s="1"/>
  <c r="D255" i="1"/>
  <c r="E255" i="1" s="1"/>
  <c r="E258" i="1" s="1"/>
  <c r="D253" i="1"/>
  <c r="E253" i="1" s="1"/>
  <c r="D252" i="1"/>
  <c r="E252" i="1" s="1"/>
  <c r="D251" i="1"/>
  <c r="E251" i="1" s="1"/>
  <c r="D248" i="1"/>
  <c r="E248" i="1" s="1"/>
  <c r="D247" i="1"/>
  <c r="C247" i="1"/>
  <c r="E247" i="1" s="1"/>
  <c r="E249" i="1" s="1"/>
  <c r="D245" i="1"/>
  <c r="E245" i="1" s="1"/>
  <c r="D244" i="1"/>
  <c r="C244" i="1"/>
  <c r="E244" i="1" s="1"/>
  <c r="E246" i="1" s="1"/>
  <c r="D242" i="1"/>
  <c r="E242" i="1" s="1"/>
  <c r="D241" i="1"/>
  <c r="E241" i="1" s="1"/>
  <c r="D240" i="1"/>
  <c r="E240" i="1" s="1"/>
  <c r="D238" i="1"/>
  <c r="E238" i="1" s="1"/>
  <c r="D237" i="1"/>
  <c r="E237" i="1" s="1"/>
  <c r="D236" i="1"/>
  <c r="E236" i="1" s="1"/>
  <c r="D235" i="1"/>
  <c r="E235" i="1" s="1"/>
  <c r="D234" i="1"/>
  <c r="E234" i="1" s="1"/>
  <c r="E239" i="1" s="1"/>
  <c r="D232" i="1"/>
  <c r="E232" i="1" s="1"/>
  <c r="D231" i="1"/>
  <c r="E231" i="1" s="1"/>
  <c r="D230" i="1"/>
  <c r="E230" i="1" s="1"/>
  <c r="D229" i="1"/>
  <c r="E229" i="1" s="1"/>
  <c r="E233" i="1" s="1"/>
  <c r="D227" i="1"/>
  <c r="E227" i="1" s="1"/>
  <c r="D226" i="1"/>
  <c r="E226" i="1" s="1"/>
  <c r="D225" i="1"/>
  <c r="E225" i="1" s="1"/>
  <c r="E228" i="1" s="1"/>
  <c r="D224" i="1"/>
  <c r="G223" i="1"/>
  <c r="D223" i="1"/>
  <c r="E223" i="1" s="1"/>
  <c r="G222" i="1"/>
  <c r="D222" i="1"/>
  <c r="E222" i="1" s="1"/>
  <c r="G221" i="1"/>
  <c r="D221" i="1"/>
  <c r="E221" i="1" s="1"/>
  <c r="G220" i="1"/>
  <c r="D220" i="1"/>
  <c r="E220" i="1" s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C213" i="1"/>
  <c r="D212" i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C201" i="1"/>
  <c r="D200" i="1"/>
  <c r="D199" i="1"/>
  <c r="E199" i="1" s="1"/>
  <c r="D198" i="1"/>
  <c r="E198" i="1" s="1"/>
  <c r="D197" i="1"/>
  <c r="E197" i="1" s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C188" i="1"/>
  <c r="D187" i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C175" i="1"/>
  <c r="D174" i="1"/>
  <c r="G173" i="1"/>
  <c r="D173" i="1"/>
  <c r="E173" i="1" s="1"/>
  <c r="G172" i="1"/>
  <c r="D172" i="1"/>
  <c r="E172" i="1" s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D161" i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G153" i="1"/>
  <c r="G152" i="1"/>
  <c r="G151" i="1"/>
  <c r="G150" i="1"/>
  <c r="G149" i="1"/>
  <c r="G148" i="1"/>
  <c r="G147" i="1"/>
  <c r="C147" i="1"/>
  <c r="D146" i="1"/>
  <c r="G145" i="1"/>
  <c r="D145" i="1"/>
  <c r="E145" i="1" s="1"/>
  <c r="G144" i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6" i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C126" i="1"/>
  <c r="D125" i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G115" i="1"/>
  <c r="C115" i="1"/>
  <c r="D114" i="1"/>
  <c r="G113" i="1"/>
  <c r="G112" i="1"/>
  <c r="G111" i="1"/>
  <c r="G110" i="1"/>
  <c r="G109" i="1"/>
  <c r="G108" i="1"/>
  <c r="G107" i="1"/>
  <c r="G106" i="1"/>
  <c r="G105" i="1"/>
  <c r="G104" i="1"/>
  <c r="D103" i="1"/>
  <c r="G102" i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3" i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1" i="1"/>
  <c r="G80" i="1"/>
  <c r="D80" i="1"/>
  <c r="E80" i="1" s="1"/>
  <c r="G79" i="1"/>
  <c r="G78" i="1"/>
  <c r="G77" i="1"/>
  <c r="G76" i="1"/>
  <c r="G75" i="1"/>
  <c r="G74" i="1"/>
  <c r="G73" i="1"/>
  <c r="G72" i="1"/>
  <c r="G71" i="1"/>
  <c r="G70" i="1"/>
  <c r="G69" i="1"/>
  <c r="G68" i="1"/>
  <c r="D67" i="1"/>
  <c r="G66" i="1"/>
  <c r="G65" i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4" i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0" i="1"/>
  <c r="G39" i="1"/>
  <c r="G38" i="1"/>
  <c r="G37" i="1"/>
  <c r="G36" i="1"/>
  <c r="G35" i="1"/>
  <c r="G34" i="1"/>
  <c r="G33" i="1"/>
  <c r="G32" i="1"/>
  <c r="G31" i="1"/>
  <c r="D30" i="1"/>
  <c r="G29" i="1"/>
  <c r="G28" i="1"/>
  <c r="G27" i="1"/>
  <c r="G26" i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19" i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  <c r="G13" i="1"/>
  <c r="D12" i="1"/>
  <c r="G11" i="1"/>
  <c r="D11" i="1"/>
  <c r="E11" i="1" s="1"/>
  <c r="G10" i="1"/>
  <c r="D10" i="1"/>
  <c r="E10" i="1" s="1"/>
  <c r="G9" i="1"/>
  <c r="D9" i="1"/>
  <c r="E9" i="1" s="1"/>
  <c r="G8" i="1"/>
  <c r="D8" i="1"/>
  <c r="E8" i="1" s="1"/>
  <c r="G7" i="1"/>
  <c r="D7" i="1"/>
  <c r="E7" i="1" s="1"/>
  <c r="G6" i="1"/>
  <c r="D6" i="1"/>
  <c r="E6" i="1" s="1"/>
  <c r="G5" i="1"/>
  <c r="D5" i="1"/>
  <c r="E5" i="1" s="1"/>
  <c r="G4" i="1"/>
  <c r="D4" i="1"/>
  <c r="E4" i="1" s="1"/>
  <c r="G3" i="1"/>
  <c r="D3" i="1"/>
  <c r="E3" i="1" s="1"/>
  <c r="G2" i="1"/>
  <c r="D41" i="6" l="1"/>
  <c r="D38" i="6"/>
  <c r="D37" i="6"/>
  <c r="D35" i="6"/>
  <c r="D30" i="6"/>
  <c r="D17" i="6"/>
  <c r="D8" i="5"/>
  <c r="D32" i="6"/>
  <c r="D28" i="6"/>
  <c r="D24" i="6"/>
  <c r="D23" i="6"/>
  <c r="D15" i="6"/>
  <c r="D5" i="6"/>
  <c r="D34" i="5"/>
  <c r="D28" i="5"/>
  <c r="D16" i="6"/>
  <c r="D26" i="6"/>
  <c r="D15" i="5"/>
  <c r="D33" i="6"/>
  <c r="D34" i="6"/>
  <c r="D31" i="6"/>
  <c r="D20" i="6"/>
  <c r="D19" i="6"/>
  <c r="D33" i="5"/>
  <c r="D32" i="5"/>
  <c r="D31" i="5"/>
  <c r="D30" i="5"/>
  <c r="D29" i="5"/>
  <c r="D7" i="5"/>
  <c r="D5" i="5"/>
  <c r="D29" i="6"/>
  <c r="D22" i="6"/>
  <c r="D27" i="6"/>
  <c r="D18" i="6"/>
  <c r="D41" i="5"/>
  <c r="D40" i="5"/>
  <c r="D37" i="5"/>
  <c r="D36" i="5"/>
  <c r="D14" i="5"/>
  <c r="D13" i="5"/>
  <c r="D12" i="5"/>
  <c r="D11" i="5"/>
  <c r="D10" i="5"/>
  <c r="D9" i="5"/>
  <c r="D26" i="4"/>
  <c r="D23" i="4"/>
  <c r="D22" i="4"/>
  <c r="D20" i="4"/>
  <c r="D19" i="4"/>
  <c r="D17" i="4"/>
  <c r="D23" i="3"/>
  <c r="D22" i="3"/>
  <c r="D21" i="3"/>
  <c r="D20" i="3"/>
  <c r="D19" i="3"/>
  <c r="D18" i="3"/>
  <c r="D17" i="3"/>
  <c r="D11" i="3"/>
  <c r="D6" i="5"/>
  <c r="D41" i="4"/>
  <c r="D18" i="4"/>
  <c r="D21" i="4"/>
  <c r="D25" i="4"/>
  <c r="D36" i="6"/>
  <c r="D9" i="6"/>
  <c r="D8" i="6"/>
  <c r="D7" i="6"/>
  <c r="D6" i="6"/>
  <c r="D21" i="5"/>
  <c r="D20" i="5"/>
  <c r="D19" i="5"/>
  <c r="D18" i="5"/>
  <c r="D17" i="5"/>
  <c r="D16" i="5"/>
  <c r="D33" i="4"/>
  <c r="D32" i="4"/>
  <c r="D31" i="4"/>
  <c r="D30" i="4"/>
  <c r="D29" i="4"/>
  <c r="D28" i="4"/>
  <c r="D24" i="4"/>
  <c r="D26" i="3"/>
  <c r="D25" i="3"/>
  <c r="D38" i="5"/>
  <c r="D4" i="5"/>
  <c r="D39" i="6"/>
  <c r="D21" i="6"/>
  <c r="D14" i="6"/>
  <c r="D13" i="6"/>
  <c r="D12" i="6"/>
  <c r="D11" i="6"/>
  <c r="D10" i="6"/>
  <c r="D27" i="5"/>
  <c r="D26" i="5"/>
  <c r="D25" i="5"/>
  <c r="D24" i="5"/>
  <c r="D23" i="5"/>
  <c r="D22" i="5"/>
  <c r="D40" i="4"/>
  <c r="D39" i="4"/>
  <c r="D38" i="4"/>
  <c r="D37" i="4"/>
  <c r="D36" i="4"/>
  <c r="D35" i="4"/>
  <c r="D34" i="4"/>
  <c r="D15" i="4"/>
  <c r="D14" i="4"/>
  <c r="D13" i="4"/>
  <c r="D12" i="4"/>
  <c r="D11" i="4"/>
  <c r="D10" i="4"/>
  <c r="D9" i="4"/>
  <c r="D8" i="4"/>
  <c r="D7" i="4"/>
  <c r="D6" i="4"/>
  <c r="D5" i="4"/>
  <c r="D4" i="4"/>
  <c r="D16" i="3"/>
  <c r="D15" i="3"/>
  <c r="D14" i="3"/>
  <c r="D13" i="3"/>
  <c r="D12" i="3"/>
  <c r="D10" i="3"/>
  <c r="D9" i="3"/>
  <c r="D8" i="3"/>
  <c r="D7" i="3"/>
  <c r="D6" i="3"/>
  <c r="D5" i="3"/>
  <c r="D4" i="3"/>
  <c r="D34" i="3" s="1"/>
  <c r="F34" i="3" s="1"/>
  <c r="D40" i="6"/>
  <c r="D24" i="3"/>
  <c r="D25" i="6"/>
  <c r="D35" i="5"/>
  <c r="D27" i="4"/>
  <c r="F7" i="8"/>
  <c r="F8" i="8"/>
  <c r="C43" i="6"/>
  <c r="D4" i="6"/>
  <c r="D39" i="5"/>
  <c r="C43" i="5"/>
  <c r="D16" i="4"/>
  <c r="D43" i="4" s="1"/>
  <c r="C43" i="4"/>
  <c r="D102" i="1"/>
  <c r="E102" i="1" s="1"/>
  <c r="D113" i="1"/>
  <c r="E113" i="1" s="1"/>
  <c r="D66" i="1"/>
  <c r="E66" i="1" s="1"/>
  <c r="D39" i="1"/>
  <c r="E39" i="1" s="1"/>
  <c r="D29" i="1"/>
  <c r="E29" i="1" s="1"/>
  <c r="D78" i="1"/>
  <c r="E78" i="1" s="1"/>
  <c r="D111" i="1"/>
  <c r="E111" i="1" s="1"/>
  <c r="D27" i="1"/>
  <c r="E27" i="1" s="1"/>
  <c r="D37" i="1"/>
  <c r="E37" i="1" s="1"/>
  <c r="D36" i="1"/>
  <c r="E36" i="1" s="1"/>
  <c r="D77" i="1"/>
  <c r="E77" i="1" s="1"/>
  <c r="D110" i="1"/>
  <c r="E110" i="1" s="1"/>
  <c r="D26" i="1"/>
  <c r="E26" i="1" s="1"/>
  <c r="D35" i="1"/>
  <c r="E35" i="1" s="1"/>
  <c r="D76" i="1"/>
  <c r="E76" i="1" s="1"/>
  <c r="D109" i="1"/>
  <c r="E109" i="1" s="1"/>
  <c r="G274" i="1"/>
  <c r="H274" i="1" s="1"/>
  <c r="I274" i="1"/>
  <c r="J274" i="1"/>
  <c r="G281" i="1"/>
  <c r="H281" i="1" s="1"/>
  <c r="I281" i="1"/>
  <c r="J281" i="1"/>
  <c r="G276" i="1"/>
  <c r="H276" i="1" s="1"/>
  <c r="I276" i="1"/>
  <c r="J276" i="1"/>
  <c r="B46" i="2"/>
  <c r="D46" i="2" s="1"/>
  <c r="B47" i="2"/>
  <c r="D47" i="2" s="1"/>
  <c r="D269" i="1" s="1"/>
  <c r="E269" i="1" s="1"/>
  <c r="E270" i="1" s="1"/>
  <c r="G268" i="1"/>
  <c r="H268" i="1" s="1"/>
  <c r="I268" i="1"/>
  <c r="J268" i="1"/>
  <c r="G264" i="1"/>
  <c r="H264" i="1" s="1"/>
  <c r="I264" i="1"/>
  <c r="J264" i="1"/>
  <c r="D152" i="1"/>
  <c r="E152" i="1" s="1"/>
  <c r="D72" i="1"/>
  <c r="E72" i="1" s="1"/>
  <c r="D153" i="1"/>
  <c r="E153" i="1" s="1"/>
  <c r="D73" i="1"/>
  <c r="E73" i="1" s="1"/>
  <c r="D151" i="1"/>
  <c r="E151" i="1" s="1"/>
  <c r="D71" i="1"/>
  <c r="E71" i="1" s="1"/>
  <c r="D144" i="1"/>
  <c r="E144" i="1" s="1"/>
  <c r="E146" i="1" s="1"/>
  <c r="D112" i="1"/>
  <c r="E112" i="1" s="1"/>
  <c r="D79" i="1"/>
  <c r="E79" i="1" s="1"/>
  <c r="D28" i="1"/>
  <c r="E28" i="1" s="1"/>
  <c r="D65" i="1"/>
  <c r="E65" i="1" s="1"/>
  <c r="D38" i="1"/>
  <c r="E38" i="1" s="1"/>
  <c r="G283" i="1"/>
  <c r="H283" i="1" s="1"/>
  <c r="I283" i="1"/>
  <c r="J283" i="1"/>
  <c r="D108" i="1"/>
  <c r="E108" i="1" s="1"/>
  <c r="D75" i="1"/>
  <c r="E75" i="1" s="1"/>
  <c r="D34" i="1"/>
  <c r="E34" i="1" s="1"/>
  <c r="D105" i="1"/>
  <c r="E105" i="1" s="1"/>
  <c r="D149" i="1"/>
  <c r="E149" i="1" s="1"/>
  <c r="D33" i="1"/>
  <c r="E33" i="1" s="1"/>
  <c r="D70" i="1"/>
  <c r="E70" i="1" s="1"/>
  <c r="D150" i="1"/>
  <c r="E150" i="1" s="1"/>
  <c r="D107" i="1"/>
  <c r="E107" i="1" s="1"/>
  <c r="D69" i="1"/>
  <c r="E69" i="1" s="1"/>
  <c r="D32" i="1"/>
  <c r="E32" i="1" s="1"/>
  <c r="D116" i="1"/>
  <c r="E116" i="1" s="1"/>
  <c r="G146" i="1"/>
  <c r="H146" i="1" s="1"/>
  <c r="D250" i="1"/>
  <c r="E250" i="1" s="1"/>
  <c r="E254" i="1" s="1"/>
  <c r="D213" i="1"/>
  <c r="E213" i="1" s="1"/>
  <c r="E224" i="1" s="1"/>
  <c r="D201" i="1"/>
  <c r="E201" i="1" s="1"/>
  <c r="E212" i="1" s="1"/>
  <c r="D126" i="1"/>
  <c r="E126" i="1" s="1"/>
  <c r="E136" i="1" s="1"/>
  <c r="D13" i="1"/>
  <c r="E13" i="1" s="1"/>
  <c r="E19" i="1" s="1"/>
  <c r="D41" i="1"/>
  <c r="E41" i="1" s="1"/>
  <c r="E54" i="1" s="1"/>
  <c r="D31" i="1"/>
  <c r="E31" i="1" s="1"/>
  <c r="D2" i="1"/>
  <c r="E2" i="1" s="1"/>
  <c r="E12" i="1" s="1"/>
  <c r="D68" i="1"/>
  <c r="E68" i="1" s="1"/>
  <c r="D104" i="1"/>
  <c r="E104" i="1" s="1"/>
  <c r="D115" i="1"/>
  <c r="E115" i="1" s="1"/>
  <c r="D147" i="1"/>
  <c r="E147" i="1" s="1"/>
  <c r="D175" i="1"/>
  <c r="E175" i="1" s="1"/>
  <c r="E187" i="1" s="1"/>
  <c r="D20" i="1"/>
  <c r="E20" i="1" s="1"/>
  <c r="D55" i="1"/>
  <c r="E55" i="1" s="1"/>
  <c r="D271" i="1"/>
  <c r="E271" i="1" s="1"/>
  <c r="E272" i="1" s="1"/>
  <c r="D82" i="1"/>
  <c r="E82" i="1" s="1"/>
  <c r="E93" i="1" s="1"/>
  <c r="D94" i="1"/>
  <c r="E94" i="1" s="1"/>
  <c r="D188" i="1"/>
  <c r="E188" i="1" s="1"/>
  <c r="E200" i="1" s="1"/>
  <c r="I289" i="1"/>
  <c r="G289" i="1"/>
  <c r="H289" i="1" s="1"/>
  <c r="J289" i="1"/>
  <c r="J287" i="1"/>
  <c r="G287" i="1"/>
  <c r="H287" i="1" s="1"/>
  <c r="I287" i="1"/>
  <c r="G285" i="1"/>
  <c r="H285" i="1" s="1"/>
  <c r="I285" i="1"/>
  <c r="J285" i="1"/>
  <c r="G262" i="1"/>
  <c r="H262" i="1" s="1"/>
  <c r="I262" i="1"/>
  <c r="J262" i="1"/>
  <c r="G260" i="1"/>
  <c r="H260" i="1" s="1"/>
  <c r="I260" i="1"/>
  <c r="J260" i="1"/>
  <c r="G258" i="1"/>
  <c r="H258" i="1" s="1"/>
  <c r="I258" i="1"/>
  <c r="J258" i="1"/>
  <c r="G249" i="1"/>
  <c r="H249" i="1" s="1"/>
  <c r="I249" i="1"/>
  <c r="J249" i="1"/>
  <c r="G246" i="1"/>
  <c r="H246" i="1" s="1"/>
  <c r="I246" i="1"/>
  <c r="J246" i="1"/>
  <c r="G239" i="1"/>
  <c r="H239" i="1" s="1"/>
  <c r="I239" i="1"/>
  <c r="J239" i="1"/>
  <c r="G233" i="1"/>
  <c r="H233" i="1" s="1"/>
  <c r="I233" i="1"/>
  <c r="J233" i="1"/>
  <c r="G228" i="1"/>
  <c r="H228" i="1" s="1"/>
  <c r="I228" i="1"/>
  <c r="J228" i="1"/>
  <c r="E174" i="1"/>
  <c r="E243" i="1"/>
  <c r="D43" i="5" l="1"/>
  <c r="F43" i="5" s="1"/>
  <c r="D43" i="6"/>
  <c r="F43" i="6" s="1"/>
  <c r="C4" i="8" s="1"/>
  <c r="D265" i="1"/>
  <c r="E265" i="1" s="1"/>
  <c r="E266" i="1" s="1"/>
  <c r="D277" i="1"/>
  <c r="E277" i="1" s="1"/>
  <c r="E279" i="1" s="1"/>
  <c r="G270" i="1"/>
  <c r="H270" i="1" s="1"/>
  <c r="I270" i="1"/>
  <c r="J270" i="1"/>
  <c r="J254" i="1"/>
  <c r="G254" i="1"/>
  <c r="H254" i="1" s="1"/>
  <c r="I254" i="1"/>
  <c r="G19" i="1"/>
  <c r="H19" i="1" s="1"/>
  <c r="I19" i="1"/>
  <c r="J19" i="1"/>
  <c r="G54" i="1"/>
  <c r="H54" i="1" s="1"/>
  <c r="J54" i="1"/>
  <c r="I54" i="1"/>
  <c r="G12" i="1"/>
  <c r="H12" i="1" s="1"/>
  <c r="J12" i="1"/>
  <c r="I12" i="1"/>
  <c r="G272" i="1"/>
  <c r="H272" i="1" s="1"/>
  <c r="I272" i="1"/>
  <c r="J272" i="1"/>
  <c r="I93" i="1"/>
  <c r="G93" i="1"/>
  <c r="H93" i="1" s="1"/>
  <c r="J93" i="1"/>
  <c r="J174" i="1"/>
  <c r="G174" i="1"/>
  <c r="H174" i="1" s="1"/>
  <c r="I174" i="1"/>
  <c r="J243" i="1"/>
  <c r="G243" i="1"/>
  <c r="H243" i="1" s="1"/>
  <c r="I243" i="1"/>
  <c r="E40" i="1"/>
  <c r="E81" i="1"/>
  <c r="E114" i="1"/>
  <c r="E125" i="1"/>
  <c r="E161" i="1"/>
  <c r="E30" i="1"/>
  <c r="E67" i="1"/>
  <c r="E103" i="1"/>
  <c r="I146" i="1"/>
  <c r="J146" i="1"/>
  <c r="J224" i="1"/>
  <c r="G224" i="1"/>
  <c r="H224" i="1" s="1"/>
  <c r="I224" i="1"/>
  <c r="I212" i="1"/>
  <c r="G212" i="1"/>
  <c r="H212" i="1" s="1"/>
  <c r="J212" i="1"/>
  <c r="J136" i="1"/>
  <c r="G136" i="1"/>
  <c r="H136" i="1" s="1"/>
  <c r="I136" i="1"/>
  <c r="G187" i="1"/>
  <c r="H187" i="1" s="1"/>
  <c r="J187" i="1"/>
  <c r="I187" i="1"/>
  <c r="G200" i="1"/>
  <c r="H200" i="1" s="1"/>
  <c r="I200" i="1"/>
  <c r="J200" i="1"/>
  <c r="B4" i="8" l="1"/>
  <c r="B30" i="8" s="1"/>
  <c r="B31" i="8" s="1"/>
  <c r="C2" i="8"/>
  <c r="G266" i="1"/>
  <c r="H266" i="1" s="1"/>
  <c r="I266" i="1"/>
  <c r="J266" i="1"/>
  <c r="G279" i="1"/>
  <c r="H279" i="1" s="1"/>
  <c r="I279" i="1"/>
  <c r="J279" i="1"/>
  <c r="J40" i="1"/>
  <c r="I40" i="1"/>
  <c r="G40" i="1"/>
  <c r="H40" i="1" s="1"/>
  <c r="J81" i="1"/>
  <c r="I81" i="1"/>
  <c r="G81" i="1"/>
  <c r="H81" i="1" s="1"/>
  <c r="J114" i="1"/>
  <c r="I114" i="1"/>
  <c r="G114" i="1"/>
  <c r="H114" i="1" s="1"/>
  <c r="J125" i="1"/>
  <c r="I125" i="1"/>
  <c r="G125" i="1"/>
  <c r="H125" i="1" s="1"/>
  <c r="I161" i="1"/>
  <c r="G161" i="1"/>
  <c r="H161" i="1" s="1"/>
  <c r="J161" i="1"/>
  <c r="J30" i="1"/>
  <c r="I30" i="1"/>
  <c r="G30" i="1"/>
  <c r="H30" i="1" s="1"/>
  <c r="J67" i="1"/>
  <c r="I67" i="1"/>
  <c r="G67" i="1"/>
  <c r="H67" i="1" s="1"/>
  <c r="J103" i="1"/>
  <c r="I103" i="1"/>
  <c r="G103" i="1"/>
  <c r="H103" i="1" s="1"/>
  <c r="B3" i="8" l="1"/>
  <c r="C3" i="8"/>
  <c r="C31" i="8"/>
  <c r="B32" i="8"/>
  <c r="C3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tc={d6a275b6-984d-416a-80ec-8a4a232d3539}</author>
    <author/>
  </authors>
  <commentList>
    <comment ref="A1" authorId="0" shapeId="0" xr:uid="{D6A275B6-984D-416A-80EC-8A4A232D35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merma en 1kg a 250 gr</t>
      </text>
    </comment>
    <comment ref="C6" authorId="1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24" authorId="1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34" authorId="1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48" authorId="1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61" authorId="1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75" authorId="1" shapeId="0" xr:uid="{00000000-0006-0000-0000-000006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87" authorId="1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08" authorId="1" shapeId="0" xr:uid="{00000000-0006-0000-0000-000008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19" authorId="1" shapeId="0" xr:uid="{00000000-0006-0000-0000-000009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30" authorId="1" shapeId="0" xr:uid="{00000000-0006-0000-0000-00000A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40" authorId="1" shapeId="0" xr:uid="{00000000-0006-0000-0000-00000B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55" authorId="1" shapeId="0" xr:uid="{00000000-0006-0000-0000-00000C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68" authorId="1" shapeId="0" xr:uid="{00000000-0006-0000-0000-00000D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81" authorId="1" shapeId="0" xr:uid="{00000000-0006-0000-0000-00000E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194" authorId="1" shapeId="0" xr:uid="{00000000-0006-0000-0000-00000F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206" authorId="1" shapeId="0" xr:uid="{00000000-0006-0000-0000-000010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  <comment ref="C218" authorId="1" shapeId="0" xr:uid="{00000000-0006-0000-0000-000011000000}">
      <text>
        <r>
          <rPr>
            <sz val="10"/>
            <color rgb="FF000000"/>
            <rFont val="Arial"/>
            <scheme val="minor"/>
          </rPr>
          <t xml:space="preserve">300 gramos se vuelven 210 gramos
135 gramos en cocido parten de 193 gramos en crudo
(MULTIPLICAR X 1.43)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tc={0400c03a-897b-4e86-831e-628976464f2c}</author>
    <author>tc={0d3ab9b5-c34f-4a20-82a3-22eaa6689a07}</author>
    <author>tc={eb9c0f8e-4eb4-4e65-84bb-c1d235bedeb0}</author>
  </authors>
  <commentList>
    <comment ref="A6" authorId="0" shapeId="0" xr:uid="{0400C03A-897B-4E86-831E-628976464F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2 kg de carne y 2,5 kg de verdura quedan 3 kg netos de materia prima</t>
      </text>
    </comment>
    <comment ref="A54" authorId="1" shapeId="0" xr:uid="{0D3AB9B5-C34F-4A20-82A3-22EAA6689A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Kg</t>
      </text>
    </comment>
    <comment ref="A55" authorId="2" shapeId="0" xr:uid="{EB9C0F8E-4EB4-4E65-84BB-C1D235BEDE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Kg</t>
      </text>
    </comment>
  </commentList>
</comments>
</file>

<file path=xl/sharedStrings.xml><?xml version="1.0" encoding="utf-8"?>
<sst xmlns="http://schemas.openxmlformats.org/spreadsheetml/2006/main" count="2955" uniqueCount="270">
  <si>
    <t>Producto elaborado</t>
  </si>
  <si>
    <t>Insumo</t>
  </si>
  <si>
    <t>cantidad x unidad</t>
  </si>
  <si>
    <t>Costos</t>
  </si>
  <si>
    <t>Costo Total</t>
  </si>
  <si>
    <t>CMV</t>
  </si>
  <si>
    <t>Porcentaje</t>
  </si>
  <si>
    <t>Rentabilidad</t>
  </si>
  <si>
    <t>Markup</t>
  </si>
  <si>
    <t>Utilidad Bruta</t>
  </si>
  <si>
    <t>CHEESE BACON</t>
  </si>
  <si>
    <t>Blend de carne</t>
  </si>
  <si>
    <t>cheedar feteado Milkaut</t>
  </si>
  <si>
    <t>Pan TBB</t>
  </si>
  <si>
    <t>Bacon</t>
  </si>
  <si>
    <t>Papas bastón SIMPLOT Extra Crunch</t>
  </si>
  <si>
    <t>Parafinado Zoso LOTTA Burgers</t>
  </si>
  <si>
    <t>Sobre de papas fritas LOTTA</t>
  </si>
  <si>
    <t>Dips con tapa</t>
  </si>
  <si>
    <t>Salsa de Dips</t>
  </si>
  <si>
    <t>Servilletas</t>
  </si>
  <si>
    <t>BALDE DE MINI BURGERS</t>
  </si>
  <si>
    <t>Pan chiquito 40 gr</t>
  </si>
  <si>
    <t>Cheedar feteado Milkaut</t>
  </si>
  <si>
    <t>Cheddar liquido</t>
  </si>
  <si>
    <t>Tacita polipapel</t>
  </si>
  <si>
    <t>Balde de polipapel</t>
  </si>
  <si>
    <t>CHEESE BACON (SIMPLE)</t>
  </si>
  <si>
    <t>CHEESE BURGER</t>
  </si>
  <si>
    <t>DOBLE CUARTO</t>
  </si>
  <si>
    <t>Cebolla picada</t>
  </si>
  <si>
    <t>Mostaza</t>
  </si>
  <si>
    <t>Ketchup</t>
  </si>
  <si>
    <t>ONION RINGS BURGER</t>
  </si>
  <si>
    <t>Aros de Cebolla</t>
  </si>
  <si>
    <t>Barbacoa</t>
  </si>
  <si>
    <t>TASTY WLB</t>
  </si>
  <si>
    <t>Cebolla</t>
  </si>
  <si>
    <t>Lechuga</t>
  </si>
  <si>
    <t>Tomate</t>
  </si>
  <si>
    <t>Salsa TASTY</t>
  </si>
  <si>
    <t>SWEET ONION</t>
  </si>
  <si>
    <t>Cebolla caramelizada</t>
  </si>
  <si>
    <t>MIGI BURGER</t>
  </si>
  <si>
    <t>Pan chico de papa TBB</t>
  </si>
  <si>
    <t>JIMMY BURGER</t>
  </si>
  <si>
    <t>TRIPLE CHEESE BACON</t>
  </si>
  <si>
    <t>MOBY DICK</t>
  </si>
  <si>
    <t>PULLED PORK</t>
  </si>
  <si>
    <t>Bondiola de cerdo</t>
  </si>
  <si>
    <t>AMERICAN BURGER</t>
  </si>
  <si>
    <t>Pepino en vinagre</t>
  </si>
  <si>
    <t>Salsa WLB</t>
  </si>
  <si>
    <t>VEGGIE BURGER</t>
  </si>
  <si>
    <t>Medallon Veggie</t>
  </si>
  <si>
    <t>BLUE CHEESE</t>
  </si>
  <si>
    <t>Salsa Queso Azul</t>
  </si>
  <si>
    <t>Nueces</t>
  </si>
  <si>
    <t>CRISPY BURGER</t>
  </si>
  <si>
    <t>Cebolla Crispy</t>
  </si>
  <si>
    <t>HUMPTY BURGER</t>
  </si>
  <si>
    <t>Huevo</t>
  </si>
  <si>
    <t>SWEET BACON BURGER</t>
  </si>
  <si>
    <t>Mermelado de Bacon</t>
  </si>
  <si>
    <t>PORCION DE PAPAS</t>
  </si>
  <si>
    <t>Caja Bisagra</t>
  </si>
  <si>
    <t>PORCION DE PAPAS Y CHEDDAR</t>
  </si>
  <si>
    <t>PORCION DE PAPAS CON CHEDDAR Y BACON</t>
  </si>
  <si>
    <t>AROS DE CEBOLLA</t>
  </si>
  <si>
    <t>NUGGETS X 6</t>
  </si>
  <si>
    <t>Nuggets de Pollo</t>
  </si>
  <si>
    <t>NUGGETS X 10</t>
  </si>
  <si>
    <t>CHEESE BURGER CANJE</t>
  </si>
  <si>
    <t>TOSTADO</t>
  </si>
  <si>
    <t xml:space="preserve">PEPSI  </t>
  </si>
  <si>
    <t xml:space="preserve">Pepsi   </t>
  </si>
  <si>
    <t>SEVEN-UP</t>
  </si>
  <si>
    <t>Seven-up</t>
  </si>
  <si>
    <t>PEPSI BLACK</t>
  </si>
  <si>
    <t>Pepsi Black</t>
  </si>
  <si>
    <t>PINTA DE CERVEZA</t>
  </si>
  <si>
    <t>Pinta de Cerveza</t>
  </si>
  <si>
    <t>MIRINDA</t>
  </si>
  <si>
    <t>Mirinda</t>
  </si>
  <si>
    <t>MEDIA PINTA DE CERVEZA</t>
  </si>
  <si>
    <t>Media Pinta de Cerveza</t>
  </si>
  <si>
    <t>EXTRA MEDALLON</t>
  </si>
  <si>
    <t>AGUA MANZANA H20</t>
  </si>
  <si>
    <t>Agua Manzana H20</t>
  </si>
  <si>
    <t>AGUA MINERAL</t>
  </si>
  <si>
    <t>Agua mineral</t>
  </si>
  <si>
    <t>BOTELLA DE CERVEZA</t>
  </si>
  <si>
    <t>Botella de Cerveza</t>
  </si>
  <si>
    <t>AGUA POMELO H20</t>
  </si>
  <si>
    <t>Agua Pomelo H20</t>
  </si>
  <si>
    <t>POSTRE CHOCOTORTA</t>
  </si>
  <si>
    <t>Postre Chocotorta</t>
  </si>
  <si>
    <t>POSTRE OREO</t>
  </si>
  <si>
    <t>Postre Oreo</t>
  </si>
  <si>
    <t>MEDALLON VEGGIE</t>
  </si>
  <si>
    <t>EXTRA CHEEDAR</t>
  </si>
  <si>
    <t>Materia Prima</t>
  </si>
  <si>
    <t>Costo x bulto</t>
  </si>
  <si>
    <t>Unidad x bulto</t>
  </si>
  <si>
    <t>Costo unitario</t>
  </si>
  <si>
    <t>CHECK</t>
  </si>
  <si>
    <t>Actualización</t>
  </si>
  <si>
    <t>Blend de carne PREMIUM</t>
  </si>
  <si>
    <t>Sal porción</t>
  </si>
  <si>
    <t>Aceite</t>
  </si>
  <si>
    <t>Ketchup pouch</t>
  </si>
  <si>
    <t>Mostaza pouch</t>
  </si>
  <si>
    <t>Bondiola Congelada</t>
  </si>
  <si>
    <t>Morrón</t>
  </si>
  <si>
    <t>Tapa de asado (NOVILLO)</t>
  </si>
  <si>
    <t>Roas Beef (NOVILLO)</t>
  </si>
  <si>
    <t>Grasa de Pella</t>
  </si>
  <si>
    <t>Tapa de asado</t>
  </si>
  <si>
    <t>Falda deshuesada</t>
  </si>
  <si>
    <t>Roast beef</t>
  </si>
  <si>
    <t>Bebidas</t>
  </si>
  <si>
    <t>Bebida lata</t>
  </si>
  <si>
    <t>Cerveza tirada</t>
  </si>
  <si>
    <t>Pinta de cerveza</t>
  </si>
  <si>
    <t>Media Pinta de cerveza</t>
  </si>
  <si>
    <t>Agua Limón H20</t>
  </si>
  <si>
    <t>Packaging</t>
  </si>
  <si>
    <t xml:space="preserve">Papel Aluminio </t>
  </si>
  <si>
    <t>Parafinado Impreso Letras 30x35</t>
  </si>
  <si>
    <t>Caja Delivery LOTTA</t>
  </si>
  <si>
    <t>PRODUCTOS</t>
  </si>
  <si>
    <t>TOTAL</t>
  </si>
  <si>
    <t>COSTO UNITARIO</t>
  </si>
  <si>
    <t>COSTO TOTAL</t>
  </si>
  <si>
    <t xml:space="preserve">CMV </t>
  </si>
  <si>
    <t>DIA LABORAL</t>
  </si>
  <si>
    <t>TURNO A</t>
  </si>
  <si>
    <t>TURNO B</t>
  </si>
  <si>
    <t>$21,363,130.00</t>
  </si>
  <si>
    <t>38.62%</t>
  </si>
  <si>
    <t>Producto</t>
  </si>
  <si>
    <t>Cantidad</t>
  </si>
  <si>
    <t>RUBRO</t>
  </si>
  <si>
    <t>PRECIOS</t>
  </si>
  <si>
    <t>% PORCENTAJE</t>
  </si>
  <si>
    <t>Periodo</t>
  </si>
  <si>
    <t>Facturación</t>
  </si>
  <si>
    <t>FACTURACION ESTIMADA</t>
  </si>
  <si>
    <t>agosto 2025</t>
  </si>
  <si>
    <t>punto de equilibrio</t>
  </si>
  <si>
    <t>septiembre 2025</t>
  </si>
  <si>
    <t>octubre 2025</t>
  </si>
  <si>
    <t>ALQUILER</t>
  </si>
  <si>
    <t>noviembre 2025</t>
  </si>
  <si>
    <t>EDELAP</t>
  </si>
  <si>
    <t>diciembre 2025</t>
  </si>
  <si>
    <t>GAS</t>
  </si>
  <si>
    <t>enero 2026</t>
  </si>
  <si>
    <t>SEGURO</t>
  </si>
  <si>
    <t>febrero 2026</t>
  </si>
  <si>
    <t>ALARMA</t>
  </si>
  <si>
    <t>SISTEMA DE PUNTOS</t>
  </si>
  <si>
    <t>RESTO SIMPLE</t>
  </si>
  <si>
    <t>ACEITE</t>
  </si>
  <si>
    <t>VERDULERIA</t>
  </si>
  <si>
    <t>PAPELERIA</t>
  </si>
  <si>
    <t>AGUZETA</t>
  </si>
  <si>
    <t>PIXET</t>
  </si>
  <si>
    <t>CINET</t>
  </si>
  <si>
    <t>Gastos Fijos</t>
  </si>
  <si>
    <t>Encargado</t>
  </si>
  <si>
    <t>Emplado 4 hs</t>
  </si>
  <si>
    <t>931 ARCA</t>
  </si>
  <si>
    <t>Total Sueldos</t>
  </si>
  <si>
    <t>IVA</t>
  </si>
  <si>
    <t>IIBB</t>
  </si>
  <si>
    <t>TOTAL GASTOS</t>
  </si>
  <si>
    <t>GASTOS + CMV</t>
  </si>
  <si>
    <t>RESULTADO</t>
  </si>
  <si>
    <t>Nro</t>
  </si>
  <si>
    <t xml:space="preserve">turno A </t>
  </si>
  <si>
    <t xml:space="preserve">turno B </t>
  </si>
  <si>
    <t xml:space="preserve">total </t>
  </si>
  <si>
    <t xml:space="preserve">día </t>
  </si>
  <si>
    <t>lunes</t>
  </si>
  <si>
    <t>martes</t>
  </si>
  <si>
    <t>miércoles</t>
  </si>
  <si>
    <t>jueves</t>
  </si>
  <si>
    <t>viernes</t>
  </si>
  <si>
    <t>sábado</t>
  </si>
  <si>
    <t>domingo</t>
  </si>
  <si>
    <t>total</t>
  </si>
  <si>
    <t>Promedios</t>
  </si>
  <si>
    <t>Estimada</t>
  </si>
  <si>
    <t>Medallon 110 gr</t>
  </si>
  <si>
    <t>Medallon 80 gr</t>
  </si>
  <si>
    <t>Queso Dambo</t>
  </si>
  <si>
    <t>Pepinillo</t>
  </si>
  <si>
    <t>Individual</t>
  </si>
  <si>
    <t>Botellas de Cerveza</t>
  </si>
  <si>
    <t>Medallon 140 gr</t>
  </si>
  <si>
    <t xml:space="preserve">PAPAS SOBRE </t>
  </si>
  <si>
    <t>CARNE MERMA</t>
  </si>
  <si>
    <t>PAN TBB BAJA</t>
  </si>
  <si>
    <t>PAN TBB DE PAPA BAJA</t>
  </si>
  <si>
    <t>BACON</t>
  </si>
  <si>
    <t>BANDEJA PAPAS</t>
  </si>
  <si>
    <t>BONDIOLA BAJA</t>
  </si>
  <si>
    <t>Bandeja con bisagra</t>
  </si>
  <si>
    <t>Viernes</t>
  </si>
  <si>
    <t xml:space="preserve">Martes </t>
  </si>
  <si>
    <t xml:space="preserve">Miércoles </t>
  </si>
  <si>
    <t xml:space="preserve">Jueves </t>
  </si>
  <si>
    <t xml:space="preserve">Viernes </t>
  </si>
  <si>
    <t xml:space="preserve">Sábado </t>
  </si>
  <si>
    <t xml:space="preserve">Domingo </t>
  </si>
  <si>
    <t xml:space="preserve">Lunes </t>
  </si>
  <si>
    <t>LA NUEVA</t>
  </si>
  <si>
    <t>Pan Brioche</t>
  </si>
  <si>
    <t>GRILLED ONION</t>
  </si>
  <si>
    <t>Medallon de 120 gr</t>
  </si>
  <si>
    <t>Medallon de 110 gr</t>
  </si>
  <si>
    <t>Cheddar feteado</t>
  </si>
  <si>
    <t>Cebolla Caramelizada</t>
  </si>
  <si>
    <t>Pepinos</t>
  </si>
  <si>
    <t>Salsa Alioli</t>
  </si>
  <si>
    <t>Salsa Burgas</t>
  </si>
  <si>
    <t>Papas pequeñas</t>
  </si>
  <si>
    <t>LA MARY</t>
  </si>
  <si>
    <t>Salsa Mil Islas</t>
  </si>
  <si>
    <t>Salsa burgas</t>
  </si>
  <si>
    <t>LA LILY</t>
  </si>
  <si>
    <t>BBQ RINGS</t>
  </si>
  <si>
    <t>Pickles de pepino</t>
  </si>
  <si>
    <t>Salsa BBQ</t>
  </si>
  <si>
    <t>LA GLORIA</t>
  </si>
  <si>
    <t>BURGA CLASIC</t>
  </si>
  <si>
    <t>Salsa Roquefort</t>
  </si>
  <si>
    <t xml:space="preserve">Hongos </t>
  </si>
  <si>
    <t>Nuez</t>
  </si>
  <si>
    <t>TASTY</t>
  </si>
  <si>
    <t>Bacon cortado</t>
  </si>
  <si>
    <t>Salsa Tasty</t>
  </si>
  <si>
    <t>LA LOCAL</t>
  </si>
  <si>
    <t>CUARTO DE LIBRA</t>
  </si>
  <si>
    <t>Mermelada de Bacon</t>
  </si>
  <si>
    <t>Mayonesa ahumada</t>
  </si>
  <si>
    <t>LOLOCHA</t>
  </si>
  <si>
    <t>STACKED</t>
  </si>
  <si>
    <t>Cebolla a la plancha</t>
  </si>
  <si>
    <t>Salsa Stacked</t>
  </si>
  <si>
    <t>Salsa Big Mac</t>
  </si>
  <si>
    <t>DOBLE CUARTO DE TULA</t>
  </si>
  <si>
    <t>Cebolla cortada chiquita</t>
  </si>
  <si>
    <t>BIG BORZI</t>
  </si>
  <si>
    <t>Lechuga crujiente</t>
  </si>
  <si>
    <t>Cebolla en cubos</t>
  </si>
  <si>
    <t>LA NEGRA</t>
  </si>
  <si>
    <t>Medallon Smash con Cebolla 120 gr</t>
  </si>
  <si>
    <t>Queso Gouda ahumado</t>
  </si>
  <si>
    <t>Salsa de ajo negro</t>
  </si>
  <si>
    <t>RAMONA</t>
  </si>
  <si>
    <t>Pan de cabutia</t>
  </si>
  <si>
    <t>Medallon simil carne</t>
  </si>
  <si>
    <t>Muzzarella vegana</t>
  </si>
  <si>
    <t>Tomate deshidratado</t>
  </si>
  <si>
    <t>Pesto de albahaca</t>
  </si>
  <si>
    <t>LA TITA</t>
  </si>
  <si>
    <t>Salsa mil islas</t>
  </si>
  <si>
    <t>PROMEDIO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</si>
</sst>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$&quot;* #,##0.00_-;_-&quot;$&quot;* \-#,##0.00_-;_-&quot;$&quot;* &quot;-&quot;??_-;_-@"/>
    <numFmt numFmtId="165" formatCode="&quot;$&quot;#,##0.00"/>
    <numFmt numFmtId="166" formatCode="#,##0\ &quot;gr&quot;"/>
    <numFmt numFmtId="167" formatCode="0\ &quot;gr&quot;"/>
    <numFmt numFmtId="168" formatCode="#,##0\ &quot;unid.&quot;"/>
    <numFmt numFmtId="169" formatCode="#,##0.00\ &quot;%&quot;"/>
  </numFmts>
  <fonts count="3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9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rgb="FF434343"/>
      <name val="Roboto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Arial"/>
      <scheme val="minor"/>
    </font>
    <font>
      <sz val="10"/>
      <color rgb="FF356854"/>
      <name val="Arial"/>
      <scheme val="minor"/>
    </font>
    <font>
      <sz val="10"/>
      <color rgb="FF000000"/>
      <name val="Montserrat"/>
    </font>
    <font>
      <sz val="10"/>
      <color theme="1"/>
      <name val="Montserrat"/>
    </font>
    <font>
      <sz val="10"/>
      <color rgb="FFD9D9D9"/>
      <name val="Arial"/>
      <scheme val="minor"/>
    </font>
    <font>
      <b/>
      <sz val="10"/>
      <color rgb="FFD9D9D9"/>
      <name val="Arial"/>
      <scheme val="minor"/>
    </font>
    <font>
      <b/>
      <sz val="11"/>
      <color rgb="FFD9D9D9"/>
      <name val="Arial"/>
      <scheme val="minor"/>
    </font>
    <font>
      <b/>
      <sz val="10"/>
      <color rgb="FF000000"/>
      <name val="Montserrat"/>
    </font>
    <font>
      <b/>
      <sz val="11"/>
      <color rgb="FF000000"/>
      <name val="Montserrat"/>
    </font>
    <font>
      <b/>
      <sz val="10"/>
      <color rgb="FFD9D9D9"/>
      <name val="Montserrat"/>
    </font>
    <font>
      <b/>
      <sz val="11"/>
      <color rgb="FFD9D9D9"/>
      <name val="Montserrat"/>
    </font>
    <font>
      <b/>
      <sz val="11"/>
      <color rgb="FF000000"/>
      <name val="Arial"/>
      <scheme val="minor"/>
    </font>
    <font>
      <b/>
      <sz val="10"/>
      <color theme="1"/>
      <name val="Montserrat"/>
    </font>
    <font>
      <b/>
      <sz val="10"/>
      <color rgb="FFFFFFFF"/>
      <name val="Montserrat"/>
    </font>
    <font>
      <b/>
      <sz val="10"/>
      <color rgb="FF434343"/>
      <name val="Arial"/>
      <scheme val="minor"/>
    </font>
    <font>
      <b/>
      <sz val="11"/>
      <color rgb="FFFFFFFF"/>
      <name val="Montserrat"/>
    </font>
    <font>
      <b/>
      <sz val="10"/>
      <color rgb="FF356854"/>
      <name val="Montserrat"/>
    </font>
    <font>
      <b/>
      <sz val="10"/>
      <color rgb="FF666666"/>
      <name val="Arial"/>
      <scheme val="minor"/>
    </font>
    <font>
      <sz val="10"/>
      <color rgb="FF666666"/>
      <name val="Arial"/>
      <scheme val="minor"/>
    </font>
    <font>
      <b/>
      <sz val="12"/>
      <color rgb="FFFFFFFF"/>
      <name val="Montserrat"/>
    </font>
    <font>
      <b/>
      <sz val="12"/>
      <color rgb="FFFFFFFF"/>
      <name val="Arial"/>
      <scheme val="minor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8FAF8"/>
        <bgColor rgb="FFF8FAF8"/>
      </patternFill>
    </fill>
    <fill>
      <patternFill patternType="solid">
        <fgColor rgb="FFCDD9D4"/>
        <bgColor rgb="FFCDD9D4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</fills>
  <borders count="4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FF9900"/>
      </left>
      <right/>
      <top style="thin">
        <color rgb="FFFF9900"/>
      </top>
      <bottom/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FF9900"/>
      </left>
      <right/>
      <top/>
      <bottom/>
      <diagonal/>
    </border>
    <border>
      <left/>
      <right style="thin">
        <color rgb="FFFF9900"/>
      </right>
      <top/>
      <bottom/>
      <diagonal/>
    </border>
    <border>
      <left style="thin">
        <color rgb="FF4BACC6"/>
      </left>
      <right/>
      <top/>
      <bottom/>
      <diagonal/>
    </border>
    <border>
      <left/>
      <right style="thin">
        <color rgb="FF4BACC6"/>
      </right>
      <top/>
      <bottom/>
      <diagonal/>
    </border>
    <border>
      <left style="thin">
        <color rgb="FFFF9900"/>
      </left>
      <right/>
      <top/>
      <bottom style="thin">
        <color rgb="FFFF9900"/>
      </bottom>
      <diagonal/>
    </border>
    <border>
      <left/>
      <right/>
      <top/>
      <bottom style="thin">
        <color rgb="FFFF9900"/>
      </bottom>
      <diagonal/>
    </border>
    <border>
      <left/>
      <right style="thin">
        <color rgb="FFFF9900"/>
      </right>
      <top/>
      <bottom style="thin">
        <color rgb="FFFF9900"/>
      </bottom>
      <diagonal/>
    </border>
    <border>
      <left style="thin">
        <color rgb="FF4BACC6"/>
      </left>
      <right/>
      <top/>
      <bottom style="thin">
        <color rgb="FF4BACC6"/>
      </bottom>
      <diagonal/>
    </border>
    <border>
      <left/>
      <right/>
      <top/>
      <bottom style="thin">
        <color rgb="FF4BACC6"/>
      </bottom>
      <diagonal/>
    </border>
    <border>
      <left/>
      <right style="thin">
        <color rgb="FF4BACC6"/>
      </right>
      <top/>
      <bottom style="thin">
        <color rgb="FF4BACC6"/>
      </bottom>
      <diagonal/>
    </border>
    <border>
      <left style="thin">
        <color rgb="FFFF9900"/>
      </left>
      <right/>
      <top style="thin">
        <color rgb="FFFF9900"/>
      </top>
      <bottom style="thin">
        <color rgb="FFFF9900"/>
      </bottom>
      <diagonal/>
    </border>
    <border>
      <left/>
      <right/>
      <top style="thin">
        <color rgb="FFFF9900"/>
      </top>
      <bottom style="thin">
        <color rgb="FFFF9900"/>
      </bottom>
      <diagonal/>
    </border>
    <border>
      <left/>
      <right style="thin">
        <color rgb="FFFF9900"/>
      </right>
      <top style="thin">
        <color rgb="FFFF9900"/>
      </top>
      <bottom style="thin">
        <color rgb="FFFF99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4" fillId="6" borderId="0" xfId="0" applyNumberFormat="1" applyFont="1" applyFill="1" applyAlignment="1">
      <alignment vertical="center"/>
    </xf>
    <xf numFmtId="0" fontId="4" fillId="6" borderId="0" xfId="0" applyFont="1" applyFill="1" applyAlignment="1">
      <alignment vertical="center"/>
    </xf>
    <xf numFmtId="164" fontId="4" fillId="6" borderId="0" xfId="0" applyNumberFormat="1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  <xf numFmtId="10" fontId="4" fillId="6" borderId="0" xfId="0" applyNumberFormat="1" applyFont="1" applyFill="1" applyAlignment="1">
      <alignment vertical="center"/>
    </xf>
    <xf numFmtId="4" fontId="4" fillId="6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164" fontId="2" fillId="4" borderId="0" xfId="0" applyNumberFormat="1" applyFont="1" applyFill="1" applyAlignment="1">
      <alignment horizontal="center"/>
    </xf>
    <xf numFmtId="164" fontId="1" fillId="4" borderId="0" xfId="0" applyNumberFormat="1" applyFont="1" applyFill="1"/>
    <xf numFmtId="164" fontId="3" fillId="4" borderId="0" xfId="0" applyNumberFormat="1" applyFont="1" applyFill="1" applyAlignment="1">
      <alignment horizontal="center"/>
    </xf>
    <xf numFmtId="10" fontId="1" fillId="4" borderId="0" xfId="0" applyNumberFormat="1" applyFont="1" applyFill="1" applyAlignment="1">
      <alignment horizontal="center"/>
    </xf>
    <xf numFmtId="10" fontId="1" fillId="4" borderId="0" xfId="0" applyNumberFormat="1" applyFont="1" applyFill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6" xfId="0" applyNumberFormat="1" applyFont="1" applyFill="1" applyBorder="1" applyAlignment="1">
      <alignment vertical="center"/>
    </xf>
    <xf numFmtId="164" fontId="1" fillId="0" borderId="6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/>
    </xf>
    <xf numFmtId="166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center"/>
    </xf>
    <xf numFmtId="166" fontId="1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9" fontId="6" fillId="6" borderId="0" xfId="0" applyNumberFormat="1" applyFont="1" applyFill="1" applyAlignment="1">
      <alignment vertical="center"/>
    </xf>
    <xf numFmtId="164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4" fontId="10" fillId="6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68" fontId="1" fillId="0" borderId="5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4" fontId="4" fillId="6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7" borderId="0" xfId="0" applyFont="1" applyFill="1"/>
    <xf numFmtId="0" fontId="6" fillId="6" borderId="0" xfId="0" applyFont="1" applyFill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vertical="center"/>
    </xf>
    <xf numFmtId="0" fontId="15" fillId="6" borderId="0" xfId="0" applyFont="1" applyFill="1" applyAlignment="1">
      <alignment horizontal="center" vertical="center"/>
    </xf>
    <xf numFmtId="10" fontId="16" fillId="6" borderId="0" xfId="0" applyNumberFormat="1" applyFont="1" applyFill="1" applyAlignment="1">
      <alignment horizontal="center" vertical="center"/>
    </xf>
    <xf numFmtId="10" fontId="16" fillId="7" borderId="0" xfId="0" applyNumberFormat="1" applyFont="1" applyFill="1" applyAlignment="1">
      <alignment horizontal="center"/>
    </xf>
    <xf numFmtId="0" fontId="6" fillId="6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10" fontId="18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10" fontId="20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10" fontId="21" fillId="8" borderId="0" xfId="0" applyNumberFormat="1" applyFont="1" applyFill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3" fillId="7" borderId="0" xfId="0" applyNumberFormat="1" applyFont="1" applyFill="1" applyAlignment="1">
      <alignment horizontal="center"/>
    </xf>
    <xf numFmtId="49" fontId="23" fillId="6" borderId="0" xfId="0" applyNumberFormat="1" applyFont="1" applyFill="1" applyAlignment="1">
      <alignment horizontal="left" vertical="center"/>
    </xf>
    <xf numFmtId="165" fontId="23" fillId="6" borderId="0" xfId="0" applyNumberFormat="1" applyFont="1" applyFill="1" applyAlignment="1">
      <alignment horizontal="center" vertical="center"/>
    </xf>
    <xf numFmtId="169" fontId="23" fillId="6" borderId="0" xfId="0" applyNumberFormat="1" applyFont="1" applyFill="1" applyAlignment="1">
      <alignment horizontal="center" vertical="center"/>
    </xf>
    <xf numFmtId="169" fontId="6" fillId="7" borderId="0" xfId="0" applyNumberFormat="1" applyFont="1" applyFill="1" applyAlignment="1">
      <alignment horizontal="center"/>
    </xf>
    <xf numFmtId="49" fontId="24" fillId="9" borderId="0" xfId="0" applyNumberFormat="1" applyFont="1" applyFill="1" applyAlignment="1">
      <alignment horizontal="center" vertical="center"/>
    </xf>
    <xf numFmtId="0" fontId="24" fillId="9" borderId="0" xfId="0" applyFont="1" applyFill="1" applyAlignment="1">
      <alignment vertical="center"/>
    </xf>
    <xf numFmtId="164" fontId="25" fillId="6" borderId="0" xfId="0" applyNumberFormat="1" applyFont="1" applyFill="1" applyAlignment="1">
      <alignment vertical="center"/>
    </xf>
    <xf numFmtId="169" fontId="26" fillId="6" borderId="0" xfId="0" applyNumberFormat="1" applyFont="1" applyFill="1" applyAlignment="1">
      <alignment horizontal="center" vertical="center"/>
    </xf>
    <xf numFmtId="49" fontId="27" fillId="4" borderId="0" xfId="0" applyNumberFormat="1" applyFont="1" applyFill="1" applyAlignment="1">
      <alignment horizontal="center" vertical="center"/>
    </xf>
    <xf numFmtId="0" fontId="27" fillId="4" borderId="0" xfId="0" applyFont="1" applyFill="1" applyAlignment="1">
      <alignment vertical="center"/>
    </xf>
    <xf numFmtId="164" fontId="23" fillId="6" borderId="0" xfId="0" applyNumberFormat="1" applyFont="1" applyFill="1" applyAlignment="1">
      <alignment horizontal="center" vertical="center"/>
    </xf>
    <xf numFmtId="49" fontId="8" fillId="0" borderId="13" xfId="0" applyNumberFormat="1" applyFont="1" applyBorder="1" applyAlignment="1">
      <alignment horizontal="left" vertical="center"/>
    </xf>
    <xf numFmtId="164" fontId="8" fillId="0" borderId="13" xfId="0" applyNumberFormat="1" applyFont="1" applyBorder="1" applyAlignment="1">
      <alignment horizontal="center" vertical="center"/>
    </xf>
    <xf numFmtId="169" fontId="8" fillId="0" borderId="13" xfId="0" applyNumberFormat="1" applyFont="1" applyBorder="1" applyAlignment="1">
      <alignment horizontal="center" vertical="center"/>
    </xf>
    <xf numFmtId="169" fontId="1" fillId="7" borderId="0" xfId="0" applyNumberFormat="1" applyFont="1" applyFill="1" applyAlignment="1">
      <alignment horizontal="center"/>
    </xf>
    <xf numFmtId="169" fontId="28" fillId="7" borderId="0" xfId="0" applyNumberFormat="1" applyFont="1" applyFill="1" applyAlignment="1">
      <alignment horizontal="center"/>
    </xf>
    <xf numFmtId="169" fontId="27" fillId="7" borderId="0" xfId="0" applyNumberFormat="1" applyFont="1" applyFill="1" applyAlignment="1">
      <alignment horizontal="center"/>
    </xf>
    <xf numFmtId="49" fontId="8" fillId="0" borderId="14" xfId="0" applyNumberFormat="1" applyFont="1" applyBorder="1" applyAlignment="1">
      <alignment horizontal="left" vertical="center"/>
    </xf>
    <xf numFmtId="164" fontId="8" fillId="0" borderId="14" xfId="0" applyNumberFormat="1" applyFont="1" applyBorder="1" applyAlignment="1">
      <alignment horizontal="center" vertical="center"/>
    </xf>
    <xf numFmtId="49" fontId="23" fillId="6" borderId="13" xfId="0" applyNumberFormat="1" applyFont="1" applyFill="1" applyBorder="1" applyAlignment="1">
      <alignment horizontal="left" vertical="center"/>
    </xf>
    <xf numFmtId="164" fontId="23" fillId="6" borderId="13" xfId="0" applyNumberFormat="1" applyFont="1" applyFill="1" applyBorder="1" applyAlignment="1">
      <alignment horizontal="center" vertical="center"/>
    </xf>
    <xf numFmtId="49" fontId="29" fillId="3" borderId="0" xfId="0" applyNumberFormat="1" applyFont="1" applyFill="1" applyAlignment="1">
      <alignment horizontal="left" vertical="center"/>
    </xf>
    <xf numFmtId="164" fontId="29" fillId="3" borderId="0" xfId="0" applyNumberFormat="1" applyFont="1" applyFill="1" applyAlignment="1">
      <alignment horizontal="center" vertical="center"/>
    </xf>
    <xf numFmtId="169" fontId="29" fillId="3" borderId="0" xfId="0" applyNumberFormat="1" applyFont="1" applyFill="1" applyAlignment="1">
      <alignment horizontal="center" vertical="center"/>
    </xf>
    <xf numFmtId="169" fontId="30" fillId="7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10" borderId="12" xfId="0" applyFont="1" applyFill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4" fillId="10" borderId="17" xfId="0" applyFont="1" applyFill="1" applyBorder="1" applyAlignment="1">
      <alignment vertical="center"/>
    </xf>
    <xf numFmtId="165" fontId="6" fillId="10" borderId="17" xfId="0" applyNumberFormat="1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165" fontId="1" fillId="11" borderId="0" xfId="0" applyNumberFormat="1" applyFont="1" applyFill="1" applyAlignment="1">
      <alignment horizontal="center" vertical="center"/>
    </xf>
    <xf numFmtId="0" fontId="4" fillId="11" borderId="16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1" fillId="4" borderId="18" xfId="0" applyFont="1" applyFill="1" applyBorder="1"/>
    <xf numFmtId="0" fontId="1" fillId="4" borderId="18" xfId="0" applyFont="1" applyFill="1" applyBorder="1" applyAlignment="1">
      <alignment horizontal="left"/>
    </xf>
    <xf numFmtId="49" fontId="1" fillId="4" borderId="3" xfId="0" applyNumberFormat="1" applyFont="1" applyFill="1" applyBorder="1"/>
    <xf numFmtId="49" fontId="1" fillId="4" borderId="18" xfId="0" applyNumberFormat="1" applyFont="1" applyFill="1" applyBorder="1"/>
    <xf numFmtId="49" fontId="1" fillId="0" borderId="18" xfId="0" applyNumberFormat="1" applyFont="1" applyBorder="1"/>
    <xf numFmtId="49" fontId="1" fillId="4" borderId="18" xfId="0" applyNumberFormat="1" applyFont="1" applyFill="1" applyBorder="1" applyAlignment="1">
      <alignment horizontal="left"/>
    </xf>
    <xf numFmtId="49" fontId="1" fillId="12" borderId="18" xfId="0" applyNumberFormat="1" applyFont="1" applyFill="1" applyBorder="1"/>
    <xf numFmtId="49" fontId="1" fillId="4" borderId="0" xfId="0" applyNumberFormat="1" applyFont="1" applyFill="1" applyAlignment="1">
      <alignment horizontal="center"/>
    </xf>
    <xf numFmtId="0" fontId="1" fillId="12" borderId="18" xfId="0" applyFont="1" applyFill="1" applyBorder="1"/>
    <xf numFmtId="0" fontId="1" fillId="4" borderId="19" xfId="0" applyFont="1" applyFill="1" applyBorder="1" applyAlignment="1">
      <alignment horizontal="left"/>
    </xf>
    <xf numFmtId="0" fontId="1" fillId="4" borderId="20" xfId="0" applyFont="1" applyFill="1" applyBorder="1" applyAlignment="1">
      <alignment horizontal="left"/>
    </xf>
    <xf numFmtId="0" fontId="31" fillId="4" borderId="18" xfId="0" applyFont="1" applyFill="1" applyBorder="1"/>
    <xf numFmtId="49" fontId="1" fillId="4" borderId="0" xfId="0" applyNumberFormat="1" applyFont="1" applyFill="1"/>
    <xf numFmtId="49" fontId="31" fillId="4" borderId="18" xfId="0" applyNumberFormat="1" applyFont="1" applyFill="1" applyBorder="1"/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4" fillId="10" borderId="6" xfId="0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4" fillId="6" borderId="16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6" borderId="3" xfId="0" applyFont="1" applyFill="1" applyBorder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164" fontId="3" fillId="0" borderId="24" xfId="0" applyNumberFormat="1" applyFont="1" applyBorder="1" applyAlignment="1">
      <alignment vertical="center"/>
    </xf>
    <xf numFmtId="49" fontId="1" fillId="0" borderId="25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164" fontId="3" fillId="0" borderId="27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164" fontId="3" fillId="0" borderId="29" xfId="0" applyNumberFormat="1" applyFont="1" applyBorder="1" applyAlignment="1">
      <alignment vertical="center"/>
    </xf>
    <xf numFmtId="49" fontId="1" fillId="0" borderId="30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vertical="center"/>
    </xf>
    <xf numFmtId="49" fontId="1" fillId="0" borderId="32" xfId="0" applyNumberFormat="1" applyFont="1" applyBorder="1" applyAlignment="1">
      <alignment horizontal="center" vertical="center"/>
    </xf>
    <xf numFmtId="49" fontId="1" fillId="0" borderId="33" xfId="0" applyNumberFormat="1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164" fontId="3" fillId="0" borderId="34" xfId="0" applyNumberFormat="1" applyFont="1" applyBorder="1" applyAlignment="1">
      <alignment vertical="center"/>
    </xf>
    <xf numFmtId="49" fontId="1" fillId="0" borderId="35" xfId="0" applyNumberFormat="1" applyFont="1" applyBorder="1" applyAlignment="1">
      <alignment horizontal="center" vertical="center"/>
    </xf>
    <xf numFmtId="49" fontId="1" fillId="0" borderId="36" xfId="0" applyNumberFormat="1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164" fontId="3" fillId="0" borderId="37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164" fontId="3" fillId="0" borderId="4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105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DCE9EA"/>
          <bgColor rgb="FFDCE9E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3A5AB"/>
          <bgColor rgb="FF73A5A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DCBF"/>
          <bgColor rgb="FFFFDCB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7600"/>
          <bgColor rgb="FFFF76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A9400"/>
          <bgColor rgb="FFBA94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A9400"/>
          <bgColor rgb="FFBA94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A9400"/>
          <bgColor rgb="FFBA94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A9400"/>
          <bgColor rgb="FFBA94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5C79"/>
          <bgColor rgb="FF575C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5">
    <tableStyle name="RECETAS-style" pivot="0" count="5" xr9:uid="{00000000-0011-0000-FFFF-FFFF00000000}">
      <tableStyleElement type="wholeTable" size="0" dxfId="100"/>
      <tableStyleElement type="headerRow" dxfId="104"/>
      <tableStyleElement type="totalRow" dxfId="101"/>
      <tableStyleElement type="firstRowStripe" dxfId="103"/>
      <tableStyleElement type="secondRowStripe" dxfId="102"/>
    </tableStyle>
    <tableStyle name="FINANCIERO-style" pivot="0" count="4" xr9:uid="{00000000-0011-0000-FFFF-FFFF01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CMV DIARIO-style" pivot="0" count="5" xr9:uid="{00000000-0011-0000-FFFF-FFFF02000000}">
      <tableStyleElement type="wholeTable" size="0" dxfId="91"/>
      <tableStyleElement type="headerRow" dxfId="95"/>
      <tableStyleElement type="totalRow" dxfId="92"/>
      <tableStyleElement type="firstRowStripe" dxfId="94"/>
      <tableStyleElement type="secondRowStripe" dxfId="93"/>
    </tableStyle>
    <tableStyle name="CMV TOTAL 12-2025-style" pivot="0" count="5" xr9:uid="{00000000-0011-0000-FFFF-FFFF03000000}">
      <tableStyleElement type="wholeTable" size="0" dxfId="86"/>
      <tableStyleElement type="headerRow" dxfId="90"/>
      <tableStyleElement type="totalRow" dxfId="87"/>
      <tableStyleElement type="firstRowStripe" dxfId="89"/>
      <tableStyleElement type="secondRowStripe" dxfId="88"/>
    </tableStyle>
    <tableStyle name="CMV TOTAL 01-2026-style" pivot="0" count="5" xr9:uid="{00000000-0011-0000-FFFF-FFFF04000000}">
      <tableStyleElement type="wholeTable" size="0" dxfId="81"/>
      <tableStyleElement type="headerRow" dxfId="85"/>
      <tableStyleElement type="totalRow" dxfId="82"/>
      <tableStyleElement type="firstRowStripe" dxfId="84"/>
      <tableStyleElement type="secondRowStripe" dxfId="83"/>
    </tableStyle>
    <tableStyle name="CMV TOTAL 02-2026-style" pivot="0" count="5" xr9:uid="{00000000-0011-0000-FFFF-FFFF05000000}">
      <tableStyleElement type="wholeTable" size="0" dxfId="76"/>
      <tableStyleElement type="headerRow" dxfId="80"/>
      <tableStyleElement type="totalRow" dxfId="77"/>
      <tableStyleElement type="firstRowStripe" dxfId="79"/>
      <tableStyleElement type="secondRowStripe" dxfId="78"/>
    </tableStyle>
    <tableStyle name="EERR-style" pivot="0" count="4" xr9:uid="{00000000-0011-0000-FFFF-FFFF06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EERR-style 2" pivot="0" count="4" xr9:uid="{00000000-0011-0000-FFFF-FFFF07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Marzo 2026-style" pivot="0" count="4" xr9:uid="{00000000-0011-0000-FFFF-FFFF08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Marzo 2026-style 2" pivot="0" count="4" xr9:uid="{00000000-0011-0000-FFFF-FFFF09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Febrero 2026-style" pivot="0" count="4" xr9:uid="{00000000-0011-0000-FFFF-FFFF0A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Febrero 2026-style 2" pivot="0" count="4" xr9:uid="{00000000-0011-0000-FFFF-FFFF0B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Enero 2026-style" pivot="0" count="4" xr9:uid="{00000000-0011-0000-FFFF-FFFF0C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Enero 2026-style 2" pivot="0" count="4" xr9:uid="{00000000-0011-0000-FFFF-FFFF0D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Diciembre 2025-style" pivot="0" count="4" xr9:uid="{00000000-0011-0000-FFFF-FFFF0E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Diciembre 2025-style 2" pivot="0" count="4" xr9:uid="{00000000-0011-0000-FFFF-FFFF0F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Noviembre 2025-style" pivot="0" count="4" xr9:uid="{00000000-0011-0000-FFFF-FFFF10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Octubre 2025-style" pivot="0" count="4" xr9:uid="{00000000-0011-0000-FFFF-FFFF11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Septiembre 2025-style" pivot="0" count="4" xr9:uid="{00000000-0011-0000-FFFF-FFFF12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Base de Datos-style" pivot="0" count="2" xr9:uid="{00000000-0011-0000-FFFF-FFFF13000000}">
      <tableStyleElement type="firstRowStripe" dxfId="23"/>
      <tableStyleElement type="secondRowStripe" dxfId="22"/>
    </tableStyle>
    <tableStyle name="Agosto 2025-style" pivot="0" count="4" xr9:uid="{00000000-0011-0000-FFFF-FFFF14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Julio 2025-style" pivot="0" count="4" xr9:uid="{00000000-0011-0000-FFFF-FFFF15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Junio 2025-style" pivot="0" count="4" xr9:uid="{00000000-0011-0000-FFFF-FFFF16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EEMM-COMPETENCIA-style" pivot="0" count="5" xr9:uid="{00000000-0011-0000-FFFF-FFFF17000000}">
      <tableStyleElement type="wholeTable" size="0" dxfId="5"/>
      <tableStyleElement type="headerRow" dxfId="9"/>
      <tableStyleElement type="totalRow" dxfId="6"/>
      <tableStyleElement type="firstRowStripe" dxfId="8"/>
      <tableStyleElement type="secondRowStripe" dxfId="7"/>
    </tableStyle>
    <tableStyle name="EEMM-COMPETENCIA-style 2" pivot="0" count="5" xr9:uid="{00000000-0011-0000-FFFF-FFFF18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AR" b="0">
                <a:solidFill>
                  <a:srgbClr val="757575"/>
                </a:solidFill>
                <a:latin typeface="+mn-lt"/>
              </a:rPr>
              <a:t>Evolución de Whole Lotta burgers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EERR!$F$1</c:f>
              <c:strCache>
                <c:ptCount val="1"/>
                <c:pt idx="0">
                  <c:v> Facturación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EERR!$E$2:$E$8</c:f>
              <c:strCache>
                <c:ptCount val="7"/>
                <c:pt idx="0">
                  <c:v>agosto 2025</c:v>
                </c:pt>
                <c:pt idx="1">
                  <c:v>septiembre 2025</c:v>
                </c:pt>
                <c:pt idx="2">
                  <c:v>octubre 2025</c:v>
                </c:pt>
                <c:pt idx="3">
                  <c:v>noviembre 2025</c:v>
                </c:pt>
                <c:pt idx="4">
                  <c:v>diciembre 2025</c:v>
                </c:pt>
                <c:pt idx="5">
                  <c:v>enero 2026</c:v>
                </c:pt>
                <c:pt idx="6">
                  <c:v>febrero 2026</c:v>
                </c:pt>
              </c:strCache>
            </c:strRef>
          </c:cat>
          <c:val>
            <c:numRef>
              <c:f>EERR!$F$2:$F$8</c:f>
              <c:numCache>
                <c:formatCode>General</c:formatCode>
                <c:ptCount val="7"/>
                <c:pt idx="0">
                  <c:v>21045137.439999998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3-42A9-98A3-866CCB489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468271"/>
        <c:axId val="616033805"/>
      </c:lineChart>
      <c:catAx>
        <c:axId val="523468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 Periodo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616033805"/>
        <c:crosses val="autoZero"/>
        <c:auto val="1"/>
        <c:lblAlgn val="ctr"/>
        <c:lblOffset val="100"/>
        <c:noMultiLvlLbl val="1"/>
      </c:catAx>
      <c:valAx>
        <c:axId val="616033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 Facturación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5234682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1295400</xdr:colOff>
      <xdr:row>0</xdr:row>
      <xdr:rowOff>0</xdr:rowOff>
    </xdr:from>
    <xdr:ext cx="2190750" cy="1162050"/>
    <xdr:pic>
      <xdr:nvPicPr>
        <xdr:cNvPr id="1526371019" name="Chart1" title="Gráfico">
          <a:extLst>
            <a:ext uri="{FF2B5EF4-FFF2-40B4-BE49-F238E27FC236}">
              <a16:creationId xmlns:a16="http://schemas.microsoft.com/office/drawing/2014/main" id="{00000000-0008-0000-0200-0000CB92FA5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1295400</xdr:colOff>
      <xdr:row>5</xdr:row>
      <xdr:rowOff>19050</xdr:rowOff>
    </xdr:from>
    <xdr:ext cx="2190750" cy="1247775"/>
    <xdr:pic>
      <xdr:nvPicPr>
        <xdr:cNvPr id="436706866" name="Chart2" title="Gráfico">
          <a:extLst>
            <a:ext uri="{FF2B5EF4-FFF2-40B4-BE49-F238E27FC236}">
              <a16:creationId xmlns:a16="http://schemas.microsoft.com/office/drawing/2014/main" id="{00000000-0008-0000-0200-0000329E071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2209800" cy="1190625"/>
    <xdr:pic>
      <xdr:nvPicPr>
        <xdr:cNvPr id="1441485886" name="Chart3" title="Gráfico">
          <a:extLst>
            <a:ext uri="{FF2B5EF4-FFF2-40B4-BE49-F238E27FC236}">
              <a16:creationId xmlns:a16="http://schemas.microsoft.com/office/drawing/2014/main" id="{00000000-0008-0000-0300-00003E54EB5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104775</xdr:rowOff>
    </xdr:from>
    <xdr:ext cx="2209800" cy="1190625"/>
    <xdr:pic>
      <xdr:nvPicPr>
        <xdr:cNvPr id="1996120106" name="Chart4" title="Gráfico">
          <a:extLst>
            <a:ext uri="{FF2B5EF4-FFF2-40B4-BE49-F238E27FC236}">
              <a16:creationId xmlns:a16="http://schemas.microsoft.com/office/drawing/2014/main" id="{00000000-0008-0000-0300-00002A60FA7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2209800" cy="1190625"/>
    <xdr:pic>
      <xdr:nvPicPr>
        <xdr:cNvPr id="1468359019" name="Chart5" title="Gráfico">
          <a:extLst>
            <a:ext uri="{FF2B5EF4-FFF2-40B4-BE49-F238E27FC236}">
              <a16:creationId xmlns:a16="http://schemas.microsoft.com/office/drawing/2014/main" id="{00000000-0008-0000-0400-00006B61855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104775</xdr:rowOff>
    </xdr:from>
    <xdr:ext cx="2209800" cy="1190625"/>
    <xdr:pic>
      <xdr:nvPicPr>
        <xdr:cNvPr id="461324190" name="Chart6" title="Gráfico">
          <a:extLst>
            <a:ext uri="{FF2B5EF4-FFF2-40B4-BE49-F238E27FC236}">
              <a16:creationId xmlns:a16="http://schemas.microsoft.com/office/drawing/2014/main" id="{00000000-0008-0000-0400-00009E3F7F1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2209800" cy="1190625"/>
    <xdr:pic>
      <xdr:nvPicPr>
        <xdr:cNvPr id="1126582244" name="Chart7" title="Gráfico">
          <a:extLst>
            <a:ext uri="{FF2B5EF4-FFF2-40B4-BE49-F238E27FC236}">
              <a16:creationId xmlns:a16="http://schemas.microsoft.com/office/drawing/2014/main" id="{00000000-0008-0000-0500-0000E447264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104775</xdr:rowOff>
    </xdr:from>
    <xdr:ext cx="2209800" cy="1190625"/>
    <xdr:pic>
      <xdr:nvPicPr>
        <xdr:cNvPr id="178709702" name="Chart8" title="Gráfico">
          <a:extLst>
            <a:ext uri="{FF2B5EF4-FFF2-40B4-BE49-F238E27FC236}">
              <a16:creationId xmlns:a16="http://schemas.microsoft.com/office/drawing/2014/main" id="{00000000-0008-0000-0500-0000C6E4A60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8</xdr:row>
      <xdr:rowOff>66675</xdr:rowOff>
    </xdr:from>
    <xdr:ext cx="6210300" cy="3505200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es" id="{22D759A4-83CE-4A65-ACF3-B17975001CA7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etas" displayName="Recetas" ref="A1:J290" totalsRowCount="1">
  <tableColumns count="10">
    <tableColumn id="1" xr3:uid="{00000000-0010-0000-0000-000001000000}" name="Producto elaborado"/>
    <tableColumn id="2" xr3:uid="{00000000-0010-0000-0000-000002000000}" name="Insumo"/>
    <tableColumn id="3" xr3:uid="{00000000-0010-0000-0000-000003000000}" name="cantidad x unidad"/>
    <tableColumn id="4" xr3:uid="{00000000-0010-0000-0000-000004000000}" name="Costos"/>
    <tableColumn id="5" xr3:uid="{00000000-0010-0000-0000-000005000000}" name="Costo Total"/>
    <tableColumn id="6" xr3:uid="{00000000-0010-0000-0000-000006000000}" name="CMV"/>
    <tableColumn id="7" xr3:uid="{00000000-0010-0000-0000-000007000000}" name="Porcentaje"/>
    <tableColumn id="8" xr3:uid="{00000000-0010-0000-0000-000008000000}" name="Rentabilidad"/>
    <tableColumn id="9" xr3:uid="{00000000-0010-0000-0000-000009000000}" name="Markup"/>
    <tableColumn id="10" xr3:uid="{00000000-0010-0000-0000-00000A000000}" name="Utilidad Bruta"/>
  </tableColumns>
  <tableStyleInfo name="RECE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ck_Actual_2" displayName="Stock_Actual_2" ref="A2:F65">
  <tableColumns count="6">
    <tableColumn id="1" xr3:uid="{00000000-0010-0000-0100-000001000000}" name="Materia Prima"/>
    <tableColumn id="2" xr3:uid="{00000000-0010-0000-0100-000002000000}" name="Costo x bulto"/>
    <tableColumn id="3" xr3:uid="{00000000-0010-0000-0100-000003000000}" name="Unidad x bulto"/>
    <tableColumn id="4" xr3:uid="{00000000-0010-0000-0100-000004000000}" name="Costo unitario"/>
    <tableColumn id="5" xr3:uid="{00000000-0010-0000-0100-000005000000}" name="CHECK"/>
    <tableColumn id="6" xr3:uid="{00000000-0010-0000-0100-000006000000}" name="Actualización"/>
  </tableColumns>
  <tableStyleInfo name="FINANCIER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" displayName="Tabla" ref="A1:F34" totalsRowCount="1">
  <tableColumns count="6">
    <tableColumn id="1" xr3:uid="{00000000-0010-0000-0200-000001000000}" name="PRODUCTOS"/>
    <tableColumn id="2" xr3:uid="{00000000-0010-0000-0200-000002000000}" name="TOTAL"/>
    <tableColumn id="3" xr3:uid="{00000000-0010-0000-0200-000003000000}" name="COSTO UNITARIO"/>
    <tableColumn id="4" xr3:uid="{00000000-0010-0000-0200-000004000000}" name="COSTO TOTAL" totalsRowFunction="custom">
      <totalsRowFormula>SUM(D4:D33)</totalsRowFormula>
    </tableColumn>
    <tableColumn id="5" xr3:uid="{00000000-0010-0000-0200-000005000000}" name="CMV" totalsRowFunction="custom">
      <totalsRowFormula>E4+F4*1</totalsRowFormula>
    </tableColumn>
    <tableColumn id="6" xr3:uid="{00000000-0010-0000-0200-000006000000}" name="CMV " totalsRowFunction="custom">
      <totalsRowFormula>D34/E34</totalsRowFormula>
    </tableColumn>
  </tableColumns>
  <tableStyleInfo name="CMV DIARI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2" displayName="Tabla_2" ref="A1:F43" totalsRowCount="1">
  <tableColumns count="6">
    <tableColumn id="1" xr3:uid="{00000000-0010-0000-0300-000001000000}" name="PRODUCTOS"/>
    <tableColumn id="2" xr3:uid="{00000000-0010-0000-0300-000002000000}" name="TOTAL"/>
    <tableColumn id="3" xr3:uid="{00000000-0010-0000-0300-000003000000}" name="COSTO UNITARIO" totalsRowFunction="custom">
      <totalsRowFormula>SUM(Tabla_2[COSTO UNITARIO])</totalsRowFormula>
    </tableColumn>
    <tableColumn id="4" xr3:uid="{00000000-0010-0000-0300-000004000000}" name="COSTO TOTAL" totalsRowFunction="custom">
      <totalsRowFormula>SUM(D4:D42)</totalsRowFormula>
    </tableColumn>
    <tableColumn id="5" xr3:uid="{00000000-0010-0000-0300-000005000000}" name="CMV" totalsRowLabel="$21,363,130.00"/>
    <tableColumn id="6" xr3:uid="{00000000-0010-0000-0300-000006000000}" name="CMV " totalsRowLabel="38.62%"/>
  </tableColumns>
  <tableStyleInfo name="CMV TOTAL 12-2025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3" displayName="Tabla_3" ref="A1:F43" totalsRowCount="1">
  <tableColumns count="6">
    <tableColumn id="1" xr3:uid="{00000000-0010-0000-0400-000001000000}" name="PRODUCTOS"/>
    <tableColumn id="2" xr3:uid="{00000000-0010-0000-0400-000002000000}" name="TOTAL"/>
    <tableColumn id="3" xr3:uid="{00000000-0010-0000-0400-000003000000}" name="COSTO UNITARIO" totalsRowFunction="custom">
      <totalsRowFormula>SUM(Tabla_3[COSTO UNITARIO])</totalsRowFormula>
    </tableColumn>
    <tableColumn id="4" xr3:uid="{00000000-0010-0000-0400-000004000000}" name="COSTO TOTAL" totalsRowFunction="custom">
      <totalsRowFormula>SUM(D4:D42)</totalsRowFormula>
    </tableColumn>
    <tableColumn id="5" xr3:uid="{00000000-0010-0000-0400-000005000000}" name="CMV" totalsRowFunction="custom">
      <totalsRowFormula>E4+F4</totalsRowFormula>
    </tableColumn>
    <tableColumn id="6" xr3:uid="{00000000-0010-0000-0400-000006000000}" name="CMV " totalsRowFunction="custom">
      <totalsRowFormula>D43/E43</totalsRowFormula>
    </tableColumn>
  </tableColumns>
  <tableStyleInfo name="CMV TOTAL 01-2026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4" displayName="Tabla_4" ref="A1:F43" totalsRowCount="1">
  <tableColumns count="6">
    <tableColumn id="1" xr3:uid="{00000000-0010-0000-0500-000001000000}" name="PRODUCTOS"/>
    <tableColumn id="2" xr3:uid="{00000000-0010-0000-0500-000002000000}" name="TOTAL"/>
    <tableColumn id="3" xr3:uid="{00000000-0010-0000-0500-000003000000}" name="COSTO UNITARIO" totalsRowFunction="custom">
      <totalsRowFormula>SUM(Tabla_4[COSTO UNITARIO])</totalsRowFormula>
    </tableColumn>
    <tableColumn id="4" xr3:uid="{00000000-0010-0000-0500-000004000000}" name="COSTO TOTAL" totalsRowFunction="custom">
      <totalsRowFormula>SUM(D4:D42)</totalsRowFormula>
    </tableColumn>
    <tableColumn id="5" xr3:uid="{00000000-0010-0000-0500-000005000000}" name="CMV" totalsRowFunction="custom">
      <totalsRowFormula>E4+F4</totalsRowFormula>
    </tableColumn>
    <tableColumn id="6" xr3:uid="{00000000-0010-0000-0500-000006000000}" name="CMV " totalsRowFunction="custom">
      <totalsRowFormula>D43/E43</totalsRowFormula>
    </tableColumn>
  </tableColumns>
  <tableStyleInfo name="CMV TOTAL 02-2026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ERR" displayName="EERR" ref="A1:C32">
  <tableColumns count="3">
    <tableColumn id="1" xr3:uid="{00000000-0010-0000-0600-000001000000}" name="RUBRO"/>
    <tableColumn id="2" xr3:uid="{00000000-0010-0000-0600-000002000000}" name="PRECIOS"/>
    <tableColumn id="3" xr3:uid="{00000000-0010-0000-0600-000003000000}" name="% PORCENTAJE"/>
  </tableColumns>
  <tableStyleInfo name="EER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YECCION" displayName="PROYECCION" ref="E1:F8">
  <tableColumns count="2">
    <tableColumn id="1" xr3:uid="{00000000-0010-0000-0700-000001000000}" name="Periodo"/>
    <tableColumn id="2" xr3:uid="{00000000-0010-0000-0700-000002000000}" name="Facturación"/>
  </tableColumns>
  <tableStyleInfo name="EERR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" displayName="Table_1" ref="B2:F99" headerRowCount="0">
  <tableColumns count="5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</tableColumns>
  <tableStyleInfo name="Base de Dato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AGOSTO2025_4" displayName="AGOSTO2025_4" ref="B1:F36">
  <tableColumns count="5">
    <tableColumn id="1" xr3:uid="{00000000-0010-0000-1400-000001000000}" name="Nro"/>
    <tableColumn id="2" xr3:uid="{00000000-0010-0000-1400-000002000000}" name="turno A "/>
    <tableColumn id="3" xr3:uid="{00000000-0010-0000-1400-000003000000}" name="turno B "/>
    <tableColumn id="4" xr3:uid="{00000000-0010-0000-1400-000004000000}" name="total "/>
    <tableColumn id="5" xr3:uid="{00000000-0010-0000-1400-000005000000}" name="día "/>
  </tableColumns>
  <tableStyleInfo name="Agosto 2025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JULIO2025" displayName="JULIO2025" ref="B1:F35">
  <tableColumns count="5">
    <tableColumn id="1" xr3:uid="{00000000-0010-0000-1500-000001000000}" name="Nro"/>
    <tableColumn id="2" xr3:uid="{00000000-0010-0000-1500-000002000000}" name="turno A "/>
    <tableColumn id="3" xr3:uid="{00000000-0010-0000-1500-000003000000}" name="turno B "/>
    <tableColumn id="4" xr3:uid="{00000000-0010-0000-1500-000004000000}" name="total "/>
    <tableColumn id="5" xr3:uid="{00000000-0010-0000-1500-000005000000}" name="día "/>
  </tableColumns>
  <tableStyleInfo name="Julio 2025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Junio" displayName="Junio" ref="B1:F34">
  <tableColumns count="5">
    <tableColumn id="1" xr3:uid="{00000000-0010-0000-1600-000001000000}" name="Nro"/>
    <tableColumn id="2" xr3:uid="{00000000-0010-0000-1600-000002000000}" name="turno A "/>
    <tableColumn id="3" xr3:uid="{00000000-0010-0000-1600-000003000000}" name="turno B "/>
    <tableColumn id="4" xr3:uid="{00000000-0010-0000-1600-000004000000}" name="total "/>
    <tableColumn id="5" xr3:uid="{00000000-0010-0000-1600-000005000000}" name="día "/>
  </tableColumns>
  <tableStyleInfo name="Junio 2025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BORZI_BURGER" displayName="BORZI_BURGER" ref="A1:D98" totalsRowCount="1">
  <tableColumns count="4">
    <tableColumn id="1" xr3:uid="{00000000-0010-0000-1700-000001000000}" name="Producto elaborado"/>
    <tableColumn id="2" xr3:uid="{00000000-0010-0000-1700-000002000000}" name="Insumo" totalsRowLabel="PROMEDIO DE PRECIOS"/>
    <tableColumn id="3" xr3:uid="{00000000-0010-0000-1700-000003000000}" name="Cantidad"/>
    <tableColumn id="4" xr3:uid="{00000000-0010-0000-1700-000004000000}" name="Costo Total" totalsRowFunction="custom">
      <totalsRowFormula>AVERAGE(BORZI_BURGER[Costo Total])</totalsRowFormula>
    </tableColumn>
  </tableColumns>
  <tableStyleInfo name="EEMM-COMPETENCIA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HE_BURGAS" displayName="THE_BURGAS" ref="F1:I98" totalsRowCount="1">
  <tableColumns count="4">
    <tableColumn id="1" xr3:uid="{00000000-0010-0000-1800-000001000000}" name="Producto elaborado"/>
    <tableColumn id="2" xr3:uid="{00000000-0010-0000-1800-000002000000}" name="Insumo" totalsRowLabel="PROMEDIO DE PRECIOS"/>
    <tableColumn id="3" xr3:uid="{00000000-0010-0000-1800-000003000000}" name="Cantidad"/>
    <tableColumn id="4" xr3:uid="{00000000-0010-0000-1800-000004000000}" name="Costo Total" totalsRowFunction="custom">
      <totalsRowFormula>AVERAGE(THE_BURGAS[Costo Total])</totalsRowFormula>
    </tableColumn>
  </tableColumns>
  <tableStyleInfo name="EEMM-COMPETENCI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18T22:35:33.00" personId="{22D759A4-83CE-4A65-ACF3-B17975001CA7}" id="{D6A275B6-984D-416A-80EC-8A4A232D3539}">
    <text>merma en 1kg a 250 gr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5-07-31T01:53:21.00" personId="{22D759A4-83CE-4A65-ACF3-B17975001CA7}" id="{0400C03A-897B-4E86-831E-628976464F2C}">
    <text>En 2 kg de carne y 2,5 kg de verdura quedan 3 kg netos de materia prima</text>
  </threadedComment>
  <threadedComment ref="A54" dT="2025-06-28T05:20:17.00" personId="{22D759A4-83CE-4A65-ACF3-B17975001CA7}" id="{0D3AB9B5-C34F-4A20-82A3-22EAA6689A07}">
    <text>5 Kg</text>
  </threadedComment>
  <threadedComment ref="A55" dT="2025-06-28T05:20:35.00" personId="{22D759A4-83CE-4A65-ACF3-B17975001CA7}" id="{EB9C0F8E-4EB4-4E65-84BB-C1D235BEDEB0}">
    <text>1 Kg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00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baseColWidth="10" defaultColWidth="12.6640625" defaultRowHeight="15.75" customHeight="1" x14ac:dyDescent="0.25"/>
  <cols>
    <col min="1" max="1" width="40.88671875" customWidth="1"/>
    <col min="2" max="2" width="34.21875" customWidth="1"/>
    <col min="3" max="3" width="19.44140625" customWidth="1"/>
    <col min="5" max="5" width="14.109375" customWidth="1"/>
    <col min="6" max="6" width="16.33203125" customWidth="1"/>
    <col min="9" max="9" width="14.33203125" customWidth="1"/>
    <col min="10" max="10" width="17" customWidth="1"/>
  </cols>
  <sheetData>
    <row r="1" spans="1:10" ht="22.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1" t="s">
        <v>8</v>
      </c>
      <c r="J1" s="1" t="s">
        <v>9</v>
      </c>
    </row>
    <row r="2" spans="1:10" ht="22.5" customHeight="1" x14ac:dyDescent="0.25">
      <c r="A2" s="7" t="s">
        <v>10</v>
      </c>
      <c r="B2" s="8" t="s">
        <v>11</v>
      </c>
      <c r="C2" s="9">
        <v>220</v>
      </c>
      <c r="D2" s="10">
        <f>IFERROR(VLOOKUP(B2, FINANCIERO!A:D, 4, FALSE), "")</f>
        <v>12.925000000000001</v>
      </c>
      <c r="E2" s="11">
        <f t="shared" ref="E2:E11" si="0">C2*D2</f>
        <v>2843.5</v>
      </c>
      <c r="F2" s="12"/>
      <c r="G2" s="13" t="str">
        <f t="shared" ref="G2:G174" si="1">IF(F2=0, "", E2 / F2)</f>
        <v/>
      </c>
      <c r="H2" s="13"/>
      <c r="I2" s="14"/>
      <c r="J2" s="11"/>
    </row>
    <row r="3" spans="1:10" ht="22.5" customHeight="1" x14ac:dyDescent="0.25">
      <c r="A3" s="7" t="s">
        <v>10</v>
      </c>
      <c r="B3" s="8" t="s">
        <v>12</v>
      </c>
      <c r="C3" s="9">
        <v>3</v>
      </c>
      <c r="D3" s="10">
        <f>IFERROR(VLOOKUP(B3, FINANCIERO!A:D, 4, FALSE), "")</f>
        <v>225.53993055555554</v>
      </c>
      <c r="E3" s="11">
        <f t="shared" si="0"/>
        <v>676.61979166666663</v>
      </c>
      <c r="F3" s="12"/>
      <c r="G3" s="13" t="str">
        <f t="shared" si="1"/>
        <v/>
      </c>
      <c r="H3" s="13"/>
      <c r="I3" s="14"/>
      <c r="J3" s="11"/>
    </row>
    <row r="4" spans="1:10" ht="22.5" customHeight="1" x14ac:dyDescent="0.25">
      <c r="A4" s="7" t="s">
        <v>10</v>
      </c>
      <c r="B4" s="8" t="s">
        <v>13</v>
      </c>
      <c r="C4" s="9">
        <v>1</v>
      </c>
      <c r="D4" s="10">
        <f>IFERROR(VLOOKUP(B4, FINANCIERO!A:D, 4, FALSE), "")</f>
        <v>648</v>
      </c>
      <c r="E4" s="11">
        <f t="shared" si="0"/>
        <v>648</v>
      </c>
      <c r="F4" s="12"/>
      <c r="G4" s="13" t="str">
        <f t="shared" si="1"/>
        <v/>
      </c>
      <c r="H4" s="13"/>
      <c r="I4" s="14"/>
      <c r="J4" s="11"/>
    </row>
    <row r="5" spans="1:10" ht="22.5" customHeight="1" x14ac:dyDescent="0.25">
      <c r="A5" s="7" t="s">
        <v>10</v>
      </c>
      <c r="B5" s="8" t="s">
        <v>14</v>
      </c>
      <c r="C5" s="9">
        <v>15</v>
      </c>
      <c r="D5" s="10">
        <f>IFERROR(VLOOKUP(B5, FINANCIERO!A:D, 4, FALSE), "")</f>
        <v>5.6332599999999999</v>
      </c>
      <c r="E5" s="11">
        <f t="shared" si="0"/>
        <v>84.498899999999992</v>
      </c>
      <c r="F5" s="12"/>
      <c r="G5" s="13" t="str">
        <f t="shared" si="1"/>
        <v/>
      </c>
      <c r="H5" s="13"/>
      <c r="I5" s="14"/>
      <c r="J5" s="11"/>
    </row>
    <row r="6" spans="1:10" ht="22.5" customHeight="1" x14ac:dyDescent="0.25">
      <c r="A6" s="7" t="s">
        <v>10</v>
      </c>
      <c r="B6" s="15" t="s">
        <v>15</v>
      </c>
      <c r="C6" s="9">
        <v>193</v>
      </c>
      <c r="D6" s="10">
        <f>IFERROR(VLOOKUP(B6, FINANCIERO!A:D, 4, FALSE), "")</f>
        <v>3.4688413333333337</v>
      </c>
      <c r="E6" s="11">
        <f t="shared" si="0"/>
        <v>669.48637733333339</v>
      </c>
      <c r="F6" s="12"/>
      <c r="G6" s="13" t="str">
        <f t="shared" si="1"/>
        <v/>
      </c>
      <c r="H6" s="13"/>
      <c r="I6" s="14"/>
      <c r="J6" s="11"/>
    </row>
    <row r="7" spans="1:10" ht="22.5" customHeight="1" x14ac:dyDescent="0.25">
      <c r="A7" s="7" t="s">
        <v>10</v>
      </c>
      <c r="B7" s="16" t="s">
        <v>16</v>
      </c>
      <c r="C7" s="9">
        <v>1</v>
      </c>
      <c r="D7" s="10">
        <f>IFERROR(VLOOKUP(B7, FINANCIERO!A:D, 4, FALSE), "")</f>
        <v>66.987179487179489</v>
      </c>
      <c r="E7" s="11">
        <f t="shared" si="0"/>
        <v>66.987179487179489</v>
      </c>
      <c r="F7" s="12"/>
      <c r="G7" s="13" t="str">
        <f t="shared" si="1"/>
        <v/>
      </c>
      <c r="H7" s="13"/>
      <c r="I7" s="14"/>
      <c r="J7" s="11"/>
    </row>
    <row r="8" spans="1:10" ht="22.5" customHeight="1" x14ac:dyDescent="0.25">
      <c r="A8" s="7" t="s">
        <v>10</v>
      </c>
      <c r="B8" s="16" t="s">
        <v>17</v>
      </c>
      <c r="C8" s="9">
        <v>1</v>
      </c>
      <c r="D8" s="10">
        <f>IFERROR(VLOOKUP(B8, FINANCIERO!A:D, 4, FALSE), "")</f>
        <v>35.909090909090907</v>
      </c>
      <c r="E8" s="11">
        <f t="shared" si="0"/>
        <v>35.909090909090907</v>
      </c>
      <c r="F8" s="12"/>
      <c r="G8" s="13" t="str">
        <f t="shared" si="1"/>
        <v/>
      </c>
      <c r="H8" s="13"/>
      <c r="I8" s="14"/>
      <c r="J8" s="11"/>
    </row>
    <row r="9" spans="1:10" ht="22.5" customHeight="1" x14ac:dyDescent="0.25">
      <c r="A9" s="7" t="s">
        <v>10</v>
      </c>
      <c r="B9" s="15" t="s">
        <v>18</v>
      </c>
      <c r="C9" s="9">
        <v>1</v>
      </c>
      <c r="D9" s="10">
        <f>IFERROR(VLOOKUP(B9, FINANCIERO!A:D, 4, FALSE), "")</f>
        <v>103.404</v>
      </c>
      <c r="E9" s="11">
        <f t="shared" si="0"/>
        <v>103.404</v>
      </c>
      <c r="F9" s="12"/>
      <c r="G9" s="13" t="str">
        <f t="shared" si="1"/>
        <v/>
      </c>
      <c r="H9" s="13"/>
      <c r="I9" s="14"/>
      <c r="J9" s="11"/>
    </row>
    <row r="10" spans="1:10" ht="22.5" customHeight="1" x14ac:dyDescent="0.25">
      <c r="A10" s="7" t="s">
        <v>10</v>
      </c>
      <c r="B10" s="15" t="s">
        <v>19</v>
      </c>
      <c r="C10" s="9">
        <v>1</v>
      </c>
      <c r="D10" s="10">
        <f>IFERROR(VLOOKUP(B10, FINANCIERO!A:D, 4, FALSE), "")</f>
        <v>5.37514</v>
      </c>
      <c r="E10" s="11">
        <f t="shared" si="0"/>
        <v>5.37514</v>
      </c>
      <c r="F10" s="12"/>
      <c r="G10" s="13" t="str">
        <f t="shared" si="1"/>
        <v/>
      </c>
      <c r="H10" s="13"/>
      <c r="I10" s="14"/>
      <c r="J10" s="11"/>
    </row>
    <row r="11" spans="1:10" ht="22.5" customHeight="1" x14ac:dyDescent="0.25">
      <c r="A11" s="7" t="s">
        <v>10</v>
      </c>
      <c r="B11" s="15" t="s">
        <v>20</v>
      </c>
      <c r="C11" s="9">
        <v>2</v>
      </c>
      <c r="D11" s="10">
        <f>IFERROR(VLOOKUP(B11, FINANCIERO!A:D, 4, FALSE), "")</f>
        <v>24.625</v>
      </c>
      <c r="E11" s="11">
        <f t="shared" si="0"/>
        <v>49.25</v>
      </c>
      <c r="F11" s="12"/>
      <c r="G11" s="13" t="str">
        <f t="shared" si="1"/>
        <v/>
      </c>
      <c r="H11" s="13"/>
      <c r="I11" s="17"/>
      <c r="J11" s="18"/>
    </row>
    <row r="12" spans="1:10" ht="22.5" customHeight="1" x14ac:dyDescent="0.25">
      <c r="A12" s="19"/>
      <c r="B12" s="20"/>
      <c r="C12" s="20"/>
      <c r="D12" s="21" t="str">
        <f>IFERROR(VLOOKUP(B12, FINANCIERO!A:D, 4, FALSE), "")</f>
        <v/>
      </c>
      <c r="E12" s="22">
        <f>SUM(E2:E11)</f>
        <v>5183.0304793962696</v>
      </c>
      <c r="F12" s="22">
        <v>13900</v>
      </c>
      <c r="G12" s="23">
        <f t="shared" si="1"/>
        <v>0.37287989060404819</v>
      </c>
      <c r="H12" s="23">
        <f>100%-G12</f>
        <v>0.62712010939595175</v>
      </c>
      <c r="I12" s="24">
        <f>(F12-E12)/E12*100</f>
        <v>168.18287207176721</v>
      </c>
      <c r="J12" s="25">
        <f>F12-E12</f>
        <v>8716.9695206037304</v>
      </c>
    </row>
    <row r="13" spans="1:10" ht="22.5" customHeight="1" x14ac:dyDescent="0.25">
      <c r="A13" s="7" t="s">
        <v>21</v>
      </c>
      <c r="B13" s="15" t="s">
        <v>11</v>
      </c>
      <c r="C13" s="9">
        <v>210</v>
      </c>
      <c r="D13" s="10">
        <f>IFERROR(VLOOKUP(B13, FINANCIERO!A:D, 4, FALSE), "")</f>
        <v>12.925000000000001</v>
      </c>
      <c r="E13" s="11">
        <f t="shared" ref="E13:E18" si="2">C13*D13</f>
        <v>2714.25</v>
      </c>
      <c r="F13" s="12"/>
      <c r="G13" s="13" t="str">
        <f t="shared" si="1"/>
        <v/>
      </c>
      <c r="H13" s="13"/>
      <c r="I13" s="17"/>
      <c r="J13" s="18"/>
    </row>
    <row r="14" spans="1:10" ht="22.5" customHeight="1" x14ac:dyDescent="0.25">
      <c r="A14" s="7" t="s">
        <v>21</v>
      </c>
      <c r="B14" s="15" t="s">
        <v>22</v>
      </c>
      <c r="C14" s="9">
        <v>6</v>
      </c>
      <c r="D14" s="10">
        <f>IFERROR(VLOOKUP(B14, FINANCIERO!A:D, 4, FALSE), "")</f>
        <v>250</v>
      </c>
      <c r="E14" s="11">
        <f t="shared" si="2"/>
        <v>1500</v>
      </c>
      <c r="F14" s="12"/>
      <c r="G14" s="13" t="str">
        <f t="shared" si="1"/>
        <v/>
      </c>
      <c r="H14" s="13"/>
      <c r="I14" s="17"/>
      <c r="J14" s="18"/>
    </row>
    <row r="15" spans="1:10" ht="22.5" customHeight="1" x14ac:dyDescent="0.25">
      <c r="A15" s="7" t="s">
        <v>21</v>
      </c>
      <c r="B15" s="15" t="s">
        <v>23</v>
      </c>
      <c r="C15" s="9">
        <v>3</v>
      </c>
      <c r="D15" s="10">
        <f>IFERROR(VLOOKUP(B15, FINANCIERO!A:D, 4, FALSE), "")</f>
        <v>225.53993055555554</v>
      </c>
      <c r="E15" s="11">
        <f t="shared" si="2"/>
        <v>676.61979166666663</v>
      </c>
      <c r="F15" s="12"/>
      <c r="G15" s="13" t="str">
        <f t="shared" si="1"/>
        <v/>
      </c>
      <c r="H15" s="13"/>
      <c r="I15" s="17"/>
      <c r="J15" s="18"/>
    </row>
    <row r="16" spans="1:10" ht="22.5" customHeight="1" x14ac:dyDescent="0.25">
      <c r="A16" s="7" t="s">
        <v>21</v>
      </c>
      <c r="B16" s="15" t="s">
        <v>24</v>
      </c>
      <c r="C16" s="9">
        <v>70</v>
      </c>
      <c r="D16" s="10">
        <f>IFERROR(VLOOKUP(B16, FINANCIERO!A:D, 4, FALSE), "")</f>
        <v>7.2801428571428568</v>
      </c>
      <c r="E16" s="11">
        <f t="shared" si="2"/>
        <v>509.60999999999996</v>
      </c>
      <c r="F16" s="12"/>
      <c r="G16" s="13" t="str">
        <f t="shared" si="1"/>
        <v/>
      </c>
      <c r="H16" s="13"/>
      <c r="I16" s="17"/>
      <c r="J16" s="18"/>
    </row>
    <row r="17" spans="1:10" ht="22.5" customHeight="1" x14ac:dyDescent="0.25">
      <c r="A17" s="7" t="s">
        <v>21</v>
      </c>
      <c r="B17" s="15" t="s">
        <v>25</v>
      </c>
      <c r="C17" s="9">
        <v>1</v>
      </c>
      <c r="D17" s="10">
        <f>IFERROR(VLOOKUP(B17, FINANCIERO!A:D, 4, FALSE), "")</f>
        <v>250</v>
      </c>
      <c r="E17" s="11">
        <f t="shared" si="2"/>
        <v>250</v>
      </c>
      <c r="F17" s="12"/>
      <c r="G17" s="13" t="str">
        <f t="shared" si="1"/>
        <v/>
      </c>
      <c r="H17" s="13"/>
      <c r="I17" s="17"/>
      <c r="J17" s="18"/>
    </row>
    <row r="18" spans="1:10" ht="22.5" customHeight="1" x14ac:dyDescent="0.25">
      <c r="A18" s="7" t="s">
        <v>21</v>
      </c>
      <c r="B18" s="15" t="s">
        <v>26</v>
      </c>
      <c r="C18" s="9">
        <v>1</v>
      </c>
      <c r="D18" s="10">
        <f>IFERROR(VLOOKUP(B18, FINANCIERO!A:D, 4, FALSE), "")</f>
        <v>250</v>
      </c>
      <c r="E18" s="11">
        <f t="shared" si="2"/>
        <v>250</v>
      </c>
      <c r="F18" s="12"/>
      <c r="G18" s="13" t="str">
        <f t="shared" si="1"/>
        <v/>
      </c>
      <c r="H18" s="13"/>
      <c r="I18" s="17"/>
      <c r="J18" s="18"/>
    </row>
    <row r="19" spans="1:10" ht="22.5" customHeight="1" x14ac:dyDescent="0.25">
      <c r="A19" s="19"/>
      <c r="B19" s="20"/>
      <c r="C19" s="20"/>
      <c r="D19" s="21" t="str">
        <f>IFERROR(VLOOKUP(B19, FINANCIERO!A:D, 4, FALSE), "")</f>
        <v/>
      </c>
      <c r="E19" s="22">
        <f>SUM(E13:E18)</f>
        <v>5900.4797916666666</v>
      </c>
      <c r="F19" s="22">
        <v>15000</v>
      </c>
      <c r="G19" s="23">
        <f t="shared" si="1"/>
        <v>0.39336531944444442</v>
      </c>
      <c r="H19" s="23">
        <f>100%-G19</f>
        <v>0.60663468055555558</v>
      </c>
      <c r="I19" s="24">
        <f>(F19-E19)/E19*100</f>
        <v>154.21661508246697</v>
      </c>
      <c r="J19" s="25">
        <f>F19-E19</f>
        <v>9099.5202083333334</v>
      </c>
    </row>
    <row r="20" spans="1:10" ht="22.5" customHeight="1" x14ac:dyDescent="0.25">
      <c r="A20" s="7" t="s">
        <v>27</v>
      </c>
      <c r="B20" s="8" t="s">
        <v>11</v>
      </c>
      <c r="C20" s="9">
        <v>110</v>
      </c>
      <c r="D20" s="10">
        <f>IFERROR(VLOOKUP(B20, FINANCIERO!A:D, 4, FALSE), "")</f>
        <v>12.925000000000001</v>
      </c>
      <c r="E20" s="11">
        <f t="shared" ref="E20:E29" si="3">C20*D20</f>
        <v>1421.75</v>
      </c>
      <c r="F20" s="12"/>
      <c r="G20" s="13" t="str">
        <f t="shared" si="1"/>
        <v/>
      </c>
      <c r="H20" s="13"/>
      <c r="I20" s="14"/>
      <c r="J20" s="11"/>
    </row>
    <row r="21" spans="1:10" ht="22.5" customHeight="1" x14ac:dyDescent="0.25">
      <c r="A21" s="7" t="s">
        <v>27</v>
      </c>
      <c r="B21" s="8" t="s">
        <v>12</v>
      </c>
      <c r="C21" s="9">
        <v>2</v>
      </c>
      <c r="D21" s="10">
        <f>IFERROR(VLOOKUP(B21, FINANCIERO!A:D, 4, FALSE), "")</f>
        <v>225.53993055555554</v>
      </c>
      <c r="E21" s="11">
        <f t="shared" si="3"/>
        <v>451.07986111111109</v>
      </c>
      <c r="F21" s="12"/>
      <c r="G21" s="13" t="str">
        <f t="shared" si="1"/>
        <v/>
      </c>
      <c r="H21" s="13"/>
      <c r="I21" s="14"/>
      <c r="J21" s="11"/>
    </row>
    <row r="22" spans="1:10" ht="22.5" customHeight="1" x14ac:dyDescent="0.25">
      <c r="A22" s="7" t="s">
        <v>27</v>
      </c>
      <c r="B22" s="8" t="s">
        <v>13</v>
      </c>
      <c r="C22" s="9">
        <v>1</v>
      </c>
      <c r="D22" s="10">
        <f>IFERROR(VLOOKUP(B22, FINANCIERO!A:D, 4, FALSE), "")</f>
        <v>648</v>
      </c>
      <c r="E22" s="11">
        <f t="shared" si="3"/>
        <v>648</v>
      </c>
      <c r="F22" s="12"/>
      <c r="G22" s="13" t="str">
        <f t="shared" si="1"/>
        <v/>
      </c>
      <c r="H22" s="13"/>
      <c r="I22" s="14"/>
      <c r="J22" s="11"/>
    </row>
    <row r="23" spans="1:10" ht="22.5" customHeight="1" x14ac:dyDescent="0.25">
      <c r="A23" s="7" t="s">
        <v>27</v>
      </c>
      <c r="B23" s="8" t="s">
        <v>14</v>
      </c>
      <c r="C23" s="9">
        <v>15</v>
      </c>
      <c r="D23" s="10">
        <f>IFERROR(VLOOKUP(B23, FINANCIERO!A:D, 4, FALSE), "")</f>
        <v>5.6332599999999999</v>
      </c>
      <c r="E23" s="11">
        <f t="shared" si="3"/>
        <v>84.498899999999992</v>
      </c>
      <c r="F23" s="12"/>
      <c r="G23" s="13" t="str">
        <f t="shared" si="1"/>
        <v/>
      </c>
      <c r="H23" s="13"/>
      <c r="I23" s="14"/>
      <c r="J23" s="11"/>
    </row>
    <row r="24" spans="1:10" ht="22.5" customHeight="1" x14ac:dyDescent="0.25">
      <c r="A24" s="7" t="s">
        <v>27</v>
      </c>
      <c r="B24" s="15" t="s">
        <v>15</v>
      </c>
      <c r="C24" s="9">
        <v>193</v>
      </c>
      <c r="D24" s="10">
        <f>IFERROR(VLOOKUP(B24, FINANCIERO!A:D, 4, FALSE), "")</f>
        <v>3.4688413333333337</v>
      </c>
      <c r="E24" s="11">
        <f t="shared" si="3"/>
        <v>669.48637733333339</v>
      </c>
      <c r="F24" s="12"/>
      <c r="G24" s="13" t="str">
        <f t="shared" si="1"/>
        <v/>
      </c>
      <c r="H24" s="13"/>
      <c r="I24" s="14"/>
      <c r="J24" s="11"/>
    </row>
    <row r="25" spans="1:10" ht="22.5" customHeight="1" x14ac:dyDescent="0.25">
      <c r="A25" s="7" t="s">
        <v>27</v>
      </c>
      <c r="B25" s="16" t="s">
        <v>16</v>
      </c>
      <c r="C25" s="9">
        <v>1</v>
      </c>
      <c r="D25" s="10">
        <f>IFERROR(VLOOKUP(B25, FINANCIERO!A:D, 4, FALSE), "")</f>
        <v>66.987179487179489</v>
      </c>
      <c r="E25" s="11">
        <f t="shared" si="3"/>
        <v>66.987179487179489</v>
      </c>
      <c r="F25" s="12"/>
      <c r="G25" s="13" t="str">
        <f t="shared" si="1"/>
        <v/>
      </c>
      <c r="H25" s="13"/>
      <c r="I25" s="14"/>
      <c r="J25" s="11"/>
    </row>
    <row r="26" spans="1:10" ht="22.5" customHeight="1" x14ac:dyDescent="0.25">
      <c r="A26" s="7" t="s">
        <v>27</v>
      </c>
      <c r="B26" s="16" t="s">
        <v>17</v>
      </c>
      <c r="C26" s="9">
        <v>1</v>
      </c>
      <c r="D26" s="10">
        <f>IFERROR(VLOOKUP(B26, FINANCIERO!A:D, 4, FALSE), "")</f>
        <v>35.909090909090907</v>
      </c>
      <c r="E26" s="11">
        <f t="shared" si="3"/>
        <v>35.909090909090907</v>
      </c>
      <c r="F26" s="12"/>
      <c r="G26" s="13" t="str">
        <f t="shared" si="1"/>
        <v/>
      </c>
      <c r="H26" s="13"/>
      <c r="I26" s="14"/>
      <c r="J26" s="11"/>
    </row>
    <row r="27" spans="1:10" ht="22.5" customHeight="1" x14ac:dyDescent="0.25">
      <c r="A27" s="7" t="s">
        <v>27</v>
      </c>
      <c r="B27" s="15" t="s">
        <v>18</v>
      </c>
      <c r="C27" s="9">
        <v>1</v>
      </c>
      <c r="D27" s="10">
        <f>IFERROR(VLOOKUP(B27, FINANCIERO!A:D, 4, FALSE), "")</f>
        <v>103.404</v>
      </c>
      <c r="E27" s="11">
        <f t="shared" si="3"/>
        <v>103.404</v>
      </c>
      <c r="F27" s="12"/>
      <c r="G27" s="13" t="str">
        <f t="shared" si="1"/>
        <v/>
      </c>
      <c r="H27" s="13"/>
      <c r="I27" s="14"/>
      <c r="J27" s="11"/>
    </row>
    <row r="28" spans="1:10" ht="22.5" customHeight="1" x14ac:dyDescent="0.25">
      <c r="A28" s="7" t="s">
        <v>27</v>
      </c>
      <c r="B28" s="15" t="s">
        <v>19</v>
      </c>
      <c r="C28" s="9">
        <v>1</v>
      </c>
      <c r="D28" s="10">
        <f>IFERROR(VLOOKUP(B28, FINANCIERO!A:D, 4, FALSE), "")</f>
        <v>5.37514</v>
      </c>
      <c r="E28" s="11">
        <f t="shared" si="3"/>
        <v>5.37514</v>
      </c>
      <c r="F28" s="12"/>
      <c r="G28" s="13" t="str">
        <f t="shared" si="1"/>
        <v/>
      </c>
      <c r="H28" s="13"/>
      <c r="I28" s="14"/>
      <c r="J28" s="11"/>
    </row>
    <row r="29" spans="1:10" ht="22.5" customHeight="1" x14ac:dyDescent="0.25">
      <c r="A29" s="7" t="s">
        <v>27</v>
      </c>
      <c r="B29" s="15" t="s">
        <v>20</v>
      </c>
      <c r="C29" s="9">
        <v>2</v>
      </c>
      <c r="D29" s="10">
        <f>IFERROR(VLOOKUP(B29, FINANCIERO!A:D, 4, FALSE), "")</f>
        <v>24.625</v>
      </c>
      <c r="E29" s="11">
        <f t="shared" si="3"/>
        <v>49.25</v>
      </c>
      <c r="F29" s="12"/>
      <c r="G29" s="13" t="str">
        <f t="shared" si="1"/>
        <v/>
      </c>
      <c r="H29" s="13"/>
      <c r="I29" s="14"/>
      <c r="J29" s="11"/>
    </row>
    <row r="30" spans="1:10" ht="22.5" customHeight="1" x14ac:dyDescent="0.25">
      <c r="A30" s="19"/>
      <c r="B30" s="20"/>
      <c r="C30" s="20"/>
      <c r="D30" s="21" t="str">
        <f>IFERROR(VLOOKUP(B30, FINANCIERO!A:D, 4, FALSE), "")</f>
        <v/>
      </c>
      <c r="E30" s="22">
        <f>SUM(E20:E29)</f>
        <v>3535.7405488407153</v>
      </c>
      <c r="F30" s="22">
        <v>11000</v>
      </c>
      <c r="G30" s="23">
        <f t="shared" si="1"/>
        <v>0.3214309589855196</v>
      </c>
      <c r="H30" s="23">
        <f>100%-G30</f>
        <v>0.67856904101448046</v>
      </c>
      <c r="I30" s="24">
        <f>(F30-E30)/E30*100</f>
        <v>211.10880020895868</v>
      </c>
      <c r="J30" s="25">
        <f>F30-E30</f>
        <v>7464.2594511592852</v>
      </c>
    </row>
    <row r="31" spans="1:10" ht="22.5" customHeight="1" x14ac:dyDescent="0.25">
      <c r="A31" s="7" t="s">
        <v>28</v>
      </c>
      <c r="B31" s="8" t="s">
        <v>11</v>
      </c>
      <c r="C31" s="9">
        <v>220</v>
      </c>
      <c r="D31" s="10">
        <f>IFERROR(VLOOKUP(B31, FINANCIERO!A:D, 4, FALSE), "")</f>
        <v>12.925000000000001</v>
      </c>
      <c r="E31" s="11">
        <f t="shared" ref="E31:E39" si="4">C31*D31</f>
        <v>2843.5</v>
      </c>
      <c r="F31" s="12"/>
      <c r="G31" s="13" t="str">
        <f t="shared" si="1"/>
        <v/>
      </c>
      <c r="H31" s="13"/>
      <c r="I31" s="14"/>
      <c r="J31" s="11"/>
    </row>
    <row r="32" spans="1:10" ht="22.5" customHeight="1" x14ac:dyDescent="0.25">
      <c r="A32" s="7" t="s">
        <v>28</v>
      </c>
      <c r="B32" s="8" t="s">
        <v>12</v>
      </c>
      <c r="C32" s="9">
        <v>3</v>
      </c>
      <c r="D32" s="10">
        <f>IFERROR(VLOOKUP(B32, FINANCIERO!A:D, 4, FALSE), "")</f>
        <v>225.53993055555554</v>
      </c>
      <c r="E32" s="11">
        <f t="shared" si="4"/>
        <v>676.61979166666663</v>
      </c>
      <c r="F32" s="12"/>
      <c r="G32" s="13" t="str">
        <f t="shared" si="1"/>
        <v/>
      </c>
      <c r="H32" s="13"/>
      <c r="I32" s="14"/>
      <c r="J32" s="11"/>
    </row>
    <row r="33" spans="1:10" ht="22.5" customHeight="1" x14ac:dyDescent="0.25">
      <c r="A33" s="7" t="s">
        <v>28</v>
      </c>
      <c r="B33" s="8" t="s">
        <v>13</v>
      </c>
      <c r="C33" s="9">
        <v>1</v>
      </c>
      <c r="D33" s="10">
        <f>IFERROR(VLOOKUP(B33, FINANCIERO!A:D, 4, FALSE), "")</f>
        <v>648</v>
      </c>
      <c r="E33" s="11">
        <f t="shared" si="4"/>
        <v>648</v>
      </c>
      <c r="F33" s="12"/>
      <c r="G33" s="13" t="str">
        <f t="shared" si="1"/>
        <v/>
      </c>
      <c r="H33" s="13"/>
      <c r="I33" s="14"/>
      <c r="J33" s="11"/>
    </row>
    <row r="34" spans="1:10" ht="22.5" customHeight="1" x14ac:dyDescent="0.25">
      <c r="A34" s="7" t="s">
        <v>28</v>
      </c>
      <c r="B34" s="15" t="s">
        <v>15</v>
      </c>
      <c r="C34" s="9">
        <v>193</v>
      </c>
      <c r="D34" s="10">
        <f>IFERROR(VLOOKUP(B34, FINANCIERO!A:D, 4, FALSE), "")</f>
        <v>3.4688413333333337</v>
      </c>
      <c r="E34" s="11">
        <f t="shared" si="4"/>
        <v>669.48637733333339</v>
      </c>
      <c r="F34" s="12"/>
      <c r="G34" s="13" t="str">
        <f t="shared" si="1"/>
        <v/>
      </c>
      <c r="H34" s="13"/>
      <c r="I34" s="14"/>
      <c r="J34" s="11"/>
    </row>
    <row r="35" spans="1:10" ht="22.5" customHeight="1" x14ac:dyDescent="0.25">
      <c r="A35" s="7" t="s">
        <v>28</v>
      </c>
      <c r="B35" s="16" t="s">
        <v>16</v>
      </c>
      <c r="C35" s="9">
        <v>1</v>
      </c>
      <c r="D35" s="10">
        <f>IFERROR(VLOOKUP(B35, FINANCIERO!A:D, 4, FALSE), "")</f>
        <v>66.987179487179489</v>
      </c>
      <c r="E35" s="11">
        <f t="shared" si="4"/>
        <v>66.987179487179489</v>
      </c>
      <c r="F35" s="12"/>
      <c r="G35" s="13" t="str">
        <f t="shared" si="1"/>
        <v/>
      </c>
      <c r="H35" s="13"/>
      <c r="I35" s="14"/>
      <c r="J35" s="11"/>
    </row>
    <row r="36" spans="1:10" ht="22.5" customHeight="1" x14ac:dyDescent="0.25">
      <c r="A36" s="7" t="s">
        <v>28</v>
      </c>
      <c r="B36" s="16" t="s">
        <v>17</v>
      </c>
      <c r="C36" s="9">
        <v>1</v>
      </c>
      <c r="D36" s="10">
        <f>IFERROR(VLOOKUP(B36, FINANCIERO!A:D, 4, FALSE), "")</f>
        <v>35.909090909090907</v>
      </c>
      <c r="E36" s="11">
        <f t="shared" si="4"/>
        <v>35.909090909090907</v>
      </c>
      <c r="F36" s="12"/>
      <c r="G36" s="13" t="str">
        <f t="shared" si="1"/>
        <v/>
      </c>
      <c r="H36" s="13"/>
      <c r="I36" s="14"/>
      <c r="J36" s="11"/>
    </row>
    <row r="37" spans="1:10" ht="22.5" customHeight="1" x14ac:dyDescent="0.25">
      <c r="A37" s="7" t="s">
        <v>28</v>
      </c>
      <c r="B37" s="15" t="s">
        <v>18</v>
      </c>
      <c r="C37" s="9">
        <v>1</v>
      </c>
      <c r="D37" s="10">
        <f>IFERROR(VLOOKUP(B37, FINANCIERO!A:D, 4, FALSE), "")</f>
        <v>103.404</v>
      </c>
      <c r="E37" s="11">
        <f t="shared" si="4"/>
        <v>103.404</v>
      </c>
      <c r="F37" s="12"/>
      <c r="G37" s="13" t="str">
        <f t="shared" si="1"/>
        <v/>
      </c>
      <c r="H37" s="13"/>
      <c r="I37" s="14"/>
      <c r="J37" s="11"/>
    </row>
    <row r="38" spans="1:10" ht="22.5" customHeight="1" x14ac:dyDescent="0.25">
      <c r="A38" s="7" t="s">
        <v>28</v>
      </c>
      <c r="B38" s="15" t="s">
        <v>19</v>
      </c>
      <c r="C38" s="9">
        <v>1</v>
      </c>
      <c r="D38" s="10">
        <f>IFERROR(VLOOKUP(B38, FINANCIERO!A:D, 4, FALSE), "")</f>
        <v>5.37514</v>
      </c>
      <c r="E38" s="11">
        <f t="shared" si="4"/>
        <v>5.37514</v>
      </c>
      <c r="F38" s="12"/>
      <c r="G38" s="13" t="str">
        <f t="shared" si="1"/>
        <v/>
      </c>
      <c r="H38" s="13"/>
      <c r="I38" s="14"/>
      <c r="J38" s="11"/>
    </row>
    <row r="39" spans="1:10" ht="22.5" customHeight="1" x14ac:dyDescent="0.25">
      <c r="A39" s="7" t="s">
        <v>28</v>
      </c>
      <c r="B39" s="15" t="s">
        <v>20</v>
      </c>
      <c r="C39" s="9">
        <v>1</v>
      </c>
      <c r="D39" s="10">
        <f>IFERROR(VLOOKUP(B39, FINANCIERO!A:D, 4, FALSE), "")</f>
        <v>24.625</v>
      </c>
      <c r="E39" s="11">
        <f t="shared" si="4"/>
        <v>24.625</v>
      </c>
      <c r="F39" s="12"/>
      <c r="G39" s="13" t="str">
        <f t="shared" si="1"/>
        <v/>
      </c>
      <c r="H39" s="13"/>
      <c r="I39" s="14"/>
      <c r="J39" s="11"/>
    </row>
    <row r="40" spans="1:10" ht="22.5" customHeight="1" x14ac:dyDescent="0.25">
      <c r="A40" s="19"/>
      <c r="B40" s="20"/>
      <c r="C40" s="20"/>
      <c r="D40" s="21" t="str">
        <f>IFERROR(VLOOKUP(B40, FINANCIERO!A:D, 4, FALSE), "")</f>
        <v/>
      </c>
      <c r="E40" s="22">
        <f>SUM(E31:E39)</f>
        <v>5073.9065793962709</v>
      </c>
      <c r="F40" s="22">
        <v>9000</v>
      </c>
      <c r="G40" s="23">
        <f t="shared" si="1"/>
        <v>0.56376739771069673</v>
      </c>
      <c r="H40" s="23">
        <f>100%-G40</f>
        <v>0.43623260228930327</v>
      </c>
      <c r="I40" s="24">
        <f>(F40-E40)/E40*100</f>
        <v>77.378118007661129</v>
      </c>
      <c r="J40" s="25">
        <f>F40-E40</f>
        <v>3926.0934206037291</v>
      </c>
    </row>
    <row r="41" spans="1:10" ht="22.5" customHeight="1" x14ac:dyDescent="0.25">
      <c r="A41" s="7" t="s">
        <v>29</v>
      </c>
      <c r="B41" s="8" t="s">
        <v>11</v>
      </c>
      <c r="C41" s="9">
        <v>220</v>
      </c>
      <c r="D41" s="10">
        <f>IFERROR(VLOOKUP(B41, FINANCIERO!A:D, 4, FALSE), "")</f>
        <v>12.925000000000001</v>
      </c>
      <c r="E41" s="11">
        <f t="shared" ref="E41:E53" si="5">C41*D41</f>
        <v>2843.5</v>
      </c>
      <c r="F41" s="12"/>
      <c r="G41" s="13" t="str">
        <f t="shared" si="1"/>
        <v/>
      </c>
      <c r="H41" s="13"/>
      <c r="I41" s="14"/>
      <c r="J41" s="11"/>
    </row>
    <row r="42" spans="1:10" ht="22.5" customHeight="1" x14ac:dyDescent="0.25">
      <c r="A42" s="7" t="s">
        <v>29</v>
      </c>
      <c r="B42" s="8" t="s">
        <v>14</v>
      </c>
      <c r="C42" s="9">
        <v>15</v>
      </c>
      <c r="D42" s="10">
        <f>IFERROR(VLOOKUP(B42, FINANCIERO!A:D, 4, FALSE), "")</f>
        <v>5.6332599999999999</v>
      </c>
      <c r="E42" s="11">
        <f t="shared" si="5"/>
        <v>84.498899999999992</v>
      </c>
      <c r="F42" s="12"/>
      <c r="G42" s="13" t="str">
        <f t="shared" si="1"/>
        <v/>
      </c>
      <c r="H42" s="13"/>
      <c r="I42" s="14"/>
      <c r="J42" s="11"/>
    </row>
    <row r="43" spans="1:10" ht="22.5" customHeight="1" x14ac:dyDescent="0.25">
      <c r="A43" s="7" t="s">
        <v>29</v>
      </c>
      <c r="B43" s="8" t="s">
        <v>12</v>
      </c>
      <c r="C43" s="9">
        <v>3</v>
      </c>
      <c r="D43" s="10">
        <f>IFERROR(VLOOKUP(B43, FINANCIERO!A:D, 4, FALSE), "")</f>
        <v>225.53993055555554</v>
      </c>
      <c r="E43" s="11">
        <f t="shared" si="5"/>
        <v>676.61979166666663</v>
      </c>
      <c r="F43" s="12"/>
      <c r="G43" s="13" t="str">
        <f t="shared" si="1"/>
        <v/>
      </c>
      <c r="H43" s="13"/>
      <c r="I43" s="14"/>
      <c r="J43" s="11"/>
    </row>
    <row r="44" spans="1:10" ht="22.5" customHeight="1" x14ac:dyDescent="0.25">
      <c r="A44" s="7" t="s">
        <v>29</v>
      </c>
      <c r="B44" s="8" t="s">
        <v>13</v>
      </c>
      <c r="C44" s="9">
        <v>1</v>
      </c>
      <c r="D44" s="10">
        <f>IFERROR(VLOOKUP(B44, FINANCIERO!A:D, 4, FALSE), "")</f>
        <v>648</v>
      </c>
      <c r="E44" s="11">
        <f t="shared" si="5"/>
        <v>648</v>
      </c>
      <c r="F44" s="12"/>
      <c r="G44" s="13" t="str">
        <f t="shared" si="1"/>
        <v/>
      </c>
      <c r="H44" s="13"/>
      <c r="I44" s="14"/>
      <c r="J44" s="11"/>
    </row>
    <row r="45" spans="1:10" ht="22.5" customHeight="1" x14ac:dyDescent="0.25">
      <c r="A45" s="7" t="s">
        <v>29</v>
      </c>
      <c r="B45" s="8" t="s">
        <v>30</v>
      </c>
      <c r="C45" s="9">
        <v>5</v>
      </c>
      <c r="D45" s="10" t="str">
        <f>IFERROR(VLOOKUP(B45, FINANCIERO!A:D, 4, FALSE), "")</f>
        <v/>
      </c>
      <c r="E45" s="11" t="e">
        <f t="shared" si="5"/>
        <v>#VALUE!</v>
      </c>
      <c r="F45" s="12"/>
      <c r="G45" s="13" t="str">
        <f t="shared" si="1"/>
        <v/>
      </c>
      <c r="H45" s="13"/>
      <c r="I45" s="14"/>
      <c r="J45" s="11"/>
    </row>
    <row r="46" spans="1:10" ht="22.5" customHeight="1" x14ac:dyDescent="0.25">
      <c r="A46" s="7" t="s">
        <v>29</v>
      </c>
      <c r="B46" s="8" t="s">
        <v>31</v>
      </c>
      <c r="C46" s="9">
        <v>5</v>
      </c>
      <c r="D46" s="10" t="str">
        <f>IFERROR(VLOOKUP(B46, FINANCIERO!A:D, 4, FALSE), "")</f>
        <v/>
      </c>
      <c r="E46" s="11" t="e">
        <f t="shared" si="5"/>
        <v>#VALUE!</v>
      </c>
      <c r="F46" s="12"/>
      <c r="G46" s="13" t="str">
        <f t="shared" si="1"/>
        <v/>
      </c>
      <c r="H46" s="13"/>
      <c r="I46" s="14"/>
      <c r="J46" s="11"/>
    </row>
    <row r="47" spans="1:10" ht="22.5" customHeight="1" x14ac:dyDescent="0.25">
      <c r="A47" s="7" t="s">
        <v>29</v>
      </c>
      <c r="B47" s="8" t="s">
        <v>32</v>
      </c>
      <c r="C47" s="9">
        <v>5</v>
      </c>
      <c r="D47" s="10" t="str">
        <f>IFERROR(VLOOKUP(B47, FINANCIERO!A:D, 4, FALSE), "")</f>
        <v/>
      </c>
      <c r="E47" s="11" t="e">
        <f t="shared" si="5"/>
        <v>#VALUE!</v>
      </c>
      <c r="F47" s="12"/>
      <c r="G47" s="13" t="str">
        <f t="shared" si="1"/>
        <v/>
      </c>
      <c r="H47" s="13"/>
      <c r="I47" s="14"/>
      <c r="J47" s="11"/>
    </row>
    <row r="48" spans="1:10" ht="22.5" customHeight="1" x14ac:dyDescent="0.25">
      <c r="A48" s="7" t="s">
        <v>29</v>
      </c>
      <c r="B48" s="15" t="s">
        <v>15</v>
      </c>
      <c r="C48" s="9">
        <v>193</v>
      </c>
      <c r="D48" s="10">
        <f>IFERROR(VLOOKUP(B48, FINANCIERO!A:D, 4, FALSE), "")</f>
        <v>3.4688413333333337</v>
      </c>
      <c r="E48" s="11">
        <f t="shared" si="5"/>
        <v>669.48637733333339</v>
      </c>
      <c r="F48" s="18"/>
      <c r="G48" s="13" t="str">
        <f t="shared" si="1"/>
        <v/>
      </c>
      <c r="H48" s="13"/>
      <c r="I48" s="14"/>
      <c r="J48" s="11"/>
    </row>
    <row r="49" spans="1:10" ht="22.5" customHeight="1" x14ac:dyDescent="0.25">
      <c r="A49" s="7" t="s">
        <v>29</v>
      </c>
      <c r="B49" s="16" t="s">
        <v>16</v>
      </c>
      <c r="C49" s="9">
        <v>1</v>
      </c>
      <c r="D49" s="10">
        <f>IFERROR(VLOOKUP(B49, FINANCIERO!A:D, 4, FALSE), "")</f>
        <v>66.987179487179489</v>
      </c>
      <c r="E49" s="11">
        <f t="shared" si="5"/>
        <v>66.987179487179489</v>
      </c>
      <c r="F49" s="18"/>
      <c r="G49" s="13" t="str">
        <f t="shared" si="1"/>
        <v/>
      </c>
      <c r="H49" s="13"/>
      <c r="I49" s="14"/>
      <c r="J49" s="11"/>
    </row>
    <row r="50" spans="1:10" ht="22.5" customHeight="1" x14ac:dyDescent="0.25">
      <c r="A50" s="7" t="s">
        <v>29</v>
      </c>
      <c r="B50" s="16" t="s">
        <v>17</v>
      </c>
      <c r="C50" s="9">
        <v>5</v>
      </c>
      <c r="D50" s="10">
        <f>IFERROR(VLOOKUP(B50, FINANCIERO!A:D, 4, FALSE), "")</f>
        <v>35.909090909090907</v>
      </c>
      <c r="E50" s="11">
        <f t="shared" si="5"/>
        <v>179.54545454545453</v>
      </c>
      <c r="F50" s="18"/>
      <c r="G50" s="13" t="str">
        <f t="shared" si="1"/>
        <v/>
      </c>
      <c r="H50" s="13"/>
      <c r="I50" s="14"/>
      <c r="J50" s="11"/>
    </row>
    <row r="51" spans="1:10" ht="22.5" customHeight="1" x14ac:dyDescent="0.25">
      <c r="A51" s="7" t="s">
        <v>29</v>
      </c>
      <c r="B51" s="26" t="s">
        <v>18</v>
      </c>
      <c r="C51" s="9">
        <v>1</v>
      </c>
      <c r="D51" s="10">
        <f>IFERROR(VLOOKUP(B51, FINANCIERO!A:D, 4, FALSE), "")</f>
        <v>103.404</v>
      </c>
      <c r="E51" s="11">
        <f t="shared" si="5"/>
        <v>103.404</v>
      </c>
      <c r="F51" s="18"/>
      <c r="G51" s="13" t="str">
        <f t="shared" si="1"/>
        <v/>
      </c>
      <c r="H51" s="13"/>
      <c r="I51" s="17"/>
      <c r="J51" s="18"/>
    </row>
    <row r="52" spans="1:10" ht="22.5" customHeight="1" x14ac:dyDescent="0.25">
      <c r="A52" s="7" t="s">
        <v>29</v>
      </c>
      <c r="B52" s="26" t="s">
        <v>19</v>
      </c>
      <c r="C52" s="9">
        <v>1</v>
      </c>
      <c r="D52" s="10">
        <f>IFERROR(VLOOKUP(B52, FINANCIERO!A:D, 4, FALSE), "")</f>
        <v>5.37514</v>
      </c>
      <c r="E52" s="11">
        <f t="shared" si="5"/>
        <v>5.37514</v>
      </c>
      <c r="F52" s="18"/>
      <c r="G52" s="13" t="str">
        <f t="shared" si="1"/>
        <v/>
      </c>
      <c r="H52" s="13"/>
      <c r="I52" s="17"/>
      <c r="J52" s="18"/>
    </row>
    <row r="53" spans="1:10" ht="22.5" customHeight="1" x14ac:dyDescent="0.25">
      <c r="A53" s="7" t="s">
        <v>29</v>
      </c>
      <c r="B53" s="26" t="s">
        <v>20</v>
      </c>
      <c r="C53" s="9">
        <v>2</v>
      </c>
      <c r="D53" s="10">
        <f>IFERROR(VLOOKUP(B53, FINANCIERO!A:D, 4, FALSE), "")</f>
        <v>24.625</v>
      </c>
      <c r="E53" s="11">
        <f t="shared" si="5"/>
        <v>49.25</v>
      </c>
      <c r="F53" s="18"/>
      <c r="G53" s="13" t="str">
        <f t="shared" si="1"/>
        <v/>
      </c>
      <c r="H53" s="13"/>
      <c r="I53" s="17"/>
      <c r="J53" s="18"/>
    </row>
    <row r="54" spans="1:10" ht="22.5" customHeight="1" x14ac:dyDescent="0.25">
      <c r="A54" s="19"/>
      <c r="B54" s="27"/>
      <c r="C54" s="20"/>
      <c r="D54" s="21" t="str">
        <f>IFERROR(VLOOKUP(B54, FINANCIERO!A:D, 4, FALSE), "")</f>
        <v/>
      </c>
      <c r="E54" s="22" t="e">
        <f>SUM(E41:E53)</f>
        <v>#VALUE!</v>
      </c>
      <c r="F54" s="22">
        <v>13900</v>
      </c>
      <c r="G54" s="23" t="e">
        <f t="shared" si="1"/>
        <v>#VALUE!</v>
      </c>
      <c r="H54" s="23" t="e">
        <f>100%-G54</f>
        <v>#VALUE!</v>
      </c>
      <c r="I54" s="24" t="e">
        <f>(F54-E54)/E54*100</f>
        <v>#VALUE!</v>
      </c>
      <c r="J54" s="25" t="e">
        <f>F54-E54</f>
        <v>#VALUE!</v>
      </c>
    </row>
    <row r="55" spans="1:10" ht="22.5" customHeight="1" x14ac:dyDescent="0.25">
      <c r="A55" s="7" t="s">
        <v>33</v>
      </c>
      <c r="B55" s="8" t="s">
        <v>11</v>
      </c>
      <c r="C55" s="9">
        <v>220</v>
      </c>
      <c r="D55" s="10">
        <f>IFERROR(VLOOKUP(B55, FINANCIERO!A:D, 4, FALSE), "")</f>
        <v>12.925000000000001</v>
      </c>
      <c r="E55" s="11">
        <f t="shared" ref="E55:E66" si="6">C55*D55</f>
        <v>2843.5</v>
      </c>
      <c r="F55" s="18"/>
      <c r="G55" s="13" t="str">
        <f t="shared" si="1"/>
        <v/>
      </c>
      <c r="H55" s="13"/>
      <c r="I55" s="14"/>
      <c r="J55" s="11"/>
    </row>
    <row r="56" spans="1:10" ht="22.5" customHeight="1" x14ac:dyDescent="0.25">
      <c r="A56" s="7" t="s">
        <v>33</v>
      </c>
      <c r="B56" s="8" t="s">
        <v>14</v>
      </c>
      <c r="C56" s="9">
        <v>15</v>
      </c>
      <c r="D56" s="10">
        <f>IFERROR(VLOOKUP(B56, FINANCIERO!A:D, 4, FALSE), "")</f>
        <v>5.6332599999999999</v>
      </c>
      <c r="E56" s="11">
        <f t="shared" si="6"/>
        <v>84.498899999999992</v>
      </c>
      <c r="F56" s="18"/>
      <c r="G56" s="13" t="str">
        <f t="shared" si="1"/>
        <v/>
      </c>
      <c r="H56" s="13"/>
      <c r="I56" s="14"/>
      <c r="J56" s="11"/>
    </row>
    <row r="57" spans="1:10" ht="22.5" customHeight="1" x14ac:dyDescent="0.25">
      <c r="A57" s="7" t="s">
        <v>33</v>
      </c>
      <c r="B57" s="8" t="s">
        <v>12</v>
      </c>
      <c r="C57" s="9">
        <v>3</v>
      </c>
      <c r="D57" s="10">
        <f>IFERROR(VLOOKUP(B57, FINANCIERO!A:D, 4, FALSE), "")</f>
        <v>225.53993055555554</v>
      </c>
      <c r="E57" s="11">
        <f t="shared" si="6"/>
        <v>676.61979166666663</v>
      </c>
      <c r="F57" s="18"/>
      <c r="G57" s="13" t="str">
        <f t="shared" si="1"/>
        <v/>
      </c>
      <c r="H57" s="13"/>
      <c r="I57" s="14"/>
      <c r="J57" s="11"/>
    </row>
    <row r="58" spans="1:10" ht="22.5" customHeight="1" x14ac:dyDescent="0.25">
      <c r="A58" s="7" t="s">
        <v>33</v>
      </c>
      <c r="B58" s="8" t="s">
        <v>13</v>
      </c>
      <c r="C58" s="9">
        <v>1</v>
      </c>
      <c r="D58" s="10">
        <f>IFERROR(VLOOKUP(B58, FINANCIERO!A:D, 4, FALSE), "")</f>
        <v>648</v>
      </c>
      <c r="E58" s="11">
        <f t="shared" si="6"/>
        <v>648</v>
      </c>
      <c r="F58" s="18"/>
      <c r="G58" s="13" t="str">
        <f t="shared" si="1"/>
        <v/>
      </c>
      <c r="H58" s="13"/>
      <c r="I58" s="14"/>
      <c r="J58" s="11"/>
    </row>
    <row r="59" spans="1:10" ht="22.5" customHeight="1" x14ac:dyDescent="0.25">
      <c r="A59" s="7" t="s">
        <v>33</v>
      </c>
      <c r="B59" s="8" t="s">
        <v>34</v>
      </c>
      <c r="C59" s="9">
        <v>50</v>
      </c>
      <c r="D59" s="10">
        <f>IFERROR(VLOOKUP(B59, FINANCIERO!A:D, 4, FALSE), "")</f>
        <v>9.1812099999999983</v>
      </c>
      <c r="E59" s="11">
        <f t="shared" si="6"/>
        <v>459.06049999999993</v>
      </c>
      <c r="F59" s="18"/>
      <c r="G59" s="13" t="str">
        <f t="shared" si="1"/>
        <v/>
      </c>
      <c r="H59" s="13"/>
      <c r="I59" s="14"/>
      <c r="J59" s="11"/>
    </row>
    <row r="60" spans="1:10" ht="22.5" customHeight="1" x14ac:dyDescent="0.25">
      <c r="A60" s="7" t="s">
        <v>33</v>
      </c>
      <c r="B60" s="8" t="s">
        <v>35</v>
      </c>
      <c r="C60" s="9">
        <v>5</v>
      </c>
      <c r="D60" s="10">
        <f>IFERROR(VLOOKUP(B60, FINANCIERO!A:D, 4, FALSE), "")</f>
        <v>3.6156666666666668</v>
      </c>
      <c r="E60" s="11">
        <f t="shared" si="6"/>
        <v>18.078333333333333</v>
      </c>
      <c r="F60" s="18"/>
      <c r="G60" s="13" t="str">
        <f t="shared" si="1"/>
        <v/>
      </c>
      <c r="H60" s="13"/>
      <c r="I60" s="14"/>
      <c r="J60" s="11"/>
    </row>
    <row r="61" spans="1:10" ht="22.5" customHeight="1" x14ac:dyDescent="0.25">
      <c r="A61" s="7" t="s">
        <v>33</v>
      </c>
      <c r="B61" s="15" t="s">
        <v>15</v>
      </c>
      <c r="C61" s="9">
        <v>193</v>
      </c>
      <c r="D61" s="10">
        <f>IFERROR(VLOOKUP(B61, FINANCIERO!A:D, 4, FALSE), "")</f>
        <v>3.4688413333333337</v>
      </c>
      <c r="E61" s="11">
        <f t="shared" si="6"/>
        <v>669.48637733333339</v>
      </c>
      <c r="F61" s="18"/>
      <c r="G61" s="13" t="str">
        <f t="shared" si="1"/>
        <v/>
      </c>
      <c r="H61" s="13"/>
      <c r="I61" s="14"/>
      <c r="J61" s="11"/>
    </row>
    <row r="62" spans="1:10" ht="22.5" customHeight="1" x14ac:dyDescent="0.25">
      <c r="A62" s="7" t="s">
        <v>33</v>
      </c>
      <c r="B62" s="16" t="s">
        <v>16</v>
      </c>
      <c r="C62" s="9">
        <v>1</v>
      </c>
      <c r="D62" s="10">
        <f>IFERROR(VLOOKUP(B62, FINANCIERO!A:D, 4, FALSE), "")</f>
        <v>66.987179487179489</v>
      </c>
      <c r="E62" s="11">
        <f t="shared" si="6"/>
        <v>66.987179487179489</v>
      </c>
      <c r="F62" s="18"/>
      <c r="G62" s="13" t="str">
        <f t="shared" si="1"/>
        <v/>
      </c>
      <c r="H62" s="13"/>
      <c r="I62" s="14"/>
      <c r="J62" s="11"/>
    </row>
    <row r="63" spans="1:10" ht="22.5" customHeight="1" x14ac:dyDescent="0.25">
      <c r="A63" s="7" t="s">
        <v>33</v>
      </c>
      <c r="B63" s="16" t="s">
        <v>17</v>
      </c>
      <c r="C63" s="9">
        <v>1</v>
      </c>
      <c r="D63" s="10">
        <f>IFERROR(VLOOKUP(B63, FINANCIERO!A:D, 4, FALSE), "")</f>
        <v>35.909090909090907</v>
      </c>
      <c r="E63" s="11">
        <f t="shared" si="6"/>
        <v>35.909090909090907</v>
      </c>
      <c r="F63" s="18"/>
      <c r="G63" s="13" t="str">
        <f t="shared" si="1"/>
        <v/>
      </c>
      <c r="H63" s="13"/>
      <c r="I63" s="14"/>
      <c r="J63" s="11"/>
    </row>
    <row r="64" spans="1:10" ht="22.5" customHeight="1" x14ac:dyDescent="0.25">
      <c r="A64" s="7" t="s">
        <v>33</v>
      </c>
      <c r="B64" s="26" t="s">
        <v>18</v>
      </c>
      <c r="C64" s="9">
        <v>1</v>
      </c>
      <c r="D64" s="10">
        <f>IFERROR(VLOOKUP(B64, FINANCIERO!A:D, 4, FALSE), "")</f>
        <v>103.404</v>
      </c>
      <c r="E64" s="11">
        <f t="shared" si="6"/>
        <v>103.404</v>
      </c>
      <c r="F64" s="18"/>
      <c r="G64" s="13" t="str">
        <f t="shared" si="1"/>
        <v/>
      </c>
      <c r="H64" s="13"/>
      <c r="I64" s="14"/>
      <c r="J64" s="11"/>
    </row>
    <row r="65" spans="1:10" ht="22.5" customHeight="1" x14ac:dyDescent="0.25">
      <c r="A65" s="7" t="s">
        <v>33</v>
      </c>
      <c r="B65" s="26" t="s">
        <v>19</v>
      </c>
      <c r="C65" s="9">
        <v>1</v>
      </c>
      <c r="D65" s="10">
        <f>IFERROR(VLOOKUP(B65, FINANCIERO!A:D, 4, FALSE), "")</f>
        <v>5.37514</v>
      </c>
      <c r="E65" s="11">
        <f t="shared" si="6"/>
        <v>5.37514</v>
      </c>
      <c r="F65" s="18"/>
      <c r="G65" s="13" t="str">
        <f t="shared" si="1"/>
        <v/>
      </c>
      <c r="H65" s="13"/>
      <c r="I65" s="14"/>
      <c r="J65" s="11"/>
    </row>
    <row r="66" spans="1:10" ht="22.5" customHeight="1" x14ac:dyDescent="0.25">
      <c r="A66" s="7" t="s">
        <v>33</v>
      </c>
      <c r="B66" s="15" t="s">
        <v>20</v>
      </c>
      <c r="C66" s="9">
        <v>2</v>
      </c>
      <c r="D66" s="10">
        <f>IFERROR(VLOOKUP(B66, FINANCIERO!A:D, 4, FALSE), "")</f>
        <v>24.625</v>
      </c>
      <c r="E66" s="11">
        <f t="shared" si="6"/>
        <v>49.25</v>
      </c>
      <c r="F66" s="18"/>
      <c r="G66" s="13" t="str">
        <f t="shared" si="1"/>
        <v/>
      </c>
      <c r="H66" s="13"/>
      <c r="I66" s="17"/>
      <c r="J66" s="18"/>
    </row>
    <row r="67" spans="1:10" ht="22.5" customHeight="1" x14ac:dyDescent="0.25">
      <c r="A67" s="19"/>
      <c r="B67" s="27"/>
      <c r="C67" s="20"/>
      <c r="D67" s="21" t="str">
        <f>IFERROR(VLOOKUP(B67, FINANCIERO!A:D, 4, FALSE), "")</f>
        <v/>
      </c>
      <c r="E67" s="22">
        <f>SUM(E55:E66)</f>
        <v>5660.1693127296039</v>
      </c>
      <c r="F67" s="22">
        <v>13900</v>
      </c>
      <c r="G67" s="23">
        <f t="shared" si="1"/>
        <v>0.40720642537623047</v>
      </c>
      <c r="H67" s="23">
        <f>100%-G67</f>
        <v>0.59279357462376958</v>
      </c>
      <c r="I67" s="24">
        <f>(F67-E67)/E67*100</f>
        <v>145.57569274013036</v>
      </c>
      <c r="J67" s="25">
        <f>F67-E67</f>
        <v>8239.8306872703961</v>
      </c>
    </row>
    <row r="68" spans="1:10" ht="22.5" customHeight="1" x14ac:dyDescent="0.25">
      <c r="A68" s="7" t="s">
        <v>36</v>
      </c>
      <c r="B68" s="8" t="s">
        <v>11</v>
      </c>
      <c r="C68" s="9">
        <v>220</v>
      </c>
      <c r="D68" s="10">
        <f>IFERROR(VLOOKUP(B68, FINANCIERO!A:D, 4, FALSE), "")</f>
        <v>12.925000000000001</v>
      </c>
      <c r="E68" s="11">
        <f t="shared" ref="E68:E80" si="7">C68*D68</f>
        <v>2843.5</v>
      </c>
      <c r="F68" s="18"/>
      <c r="G68" s="13" t="str">
        <f t="shared" si="1"/>
        <v/>
      </c>
      <c r="H68" s="13"/>
      <c r="I68" s="14"/>
      <c r="J68" s="11"/>
    </row>
    <row r="69" spans="1:10" ht="22.5" customHeight="1" x14ac:dyDescent="0.25">
      <c r="A69" s="7" t="s">
        <v>36</v>
      </c>
      <c r="B69" s="8" t="s">
        <v>12</v>
      </c>
      <c r="C69" s="9">
        <v>3</v>
      </c>
      <c r="D69" s="10">
        <f>IFERROR(VLOOKUP(B69, FINANCIERO!A:D, 4, FALSE), "")</f>
        <v>225.53993055555554</v>
      </c>
      <c r="E69" s="11">
        <f t="shared" si="7"/>
        <v>676.61979166666663</v>
      </c>
      <c r="F69" s="18"/>
      <c r="G69" s="13" t="str">
        <f t="shared" si="1"/>
        <v/>
      </c>
      <c r="H69" s="13"/>
      <c r="I69" s="14"/>
      <c r="J69" s="11"/>
    </row>
    <row r="70" spans="1:10" ht="22.5" customHeight="1" x14ac:dyDescent="0.25">
      <c r="A70" s="7" t="s">
        <v>36</v>
      </c>
      <c r="B70" s="8" t="s">
        <v>13</v>
      </c>
      <c r="C70" s="9">
        <v>1</v>
      </c>
      <c r="D70" s="10">
        <f>IFERROR(VLOOKUP(B70, FINANCIERO!A:D, 4, FALSE), "")</f>
        <v>648</v>
      </c>
      <c r="E70" s="11">
        <f t="shared" si="7"/>
        <v>648</v>
      </c>
      <c r="F70" s="18"/>
      <c r="G70" s="13" t="str">
        <f t="shared" si="1"/>
        <v/>
      </c>
      <c r="H70" s="13"/>
      <c r="I70" s="14"/>
      <c r="J70" s="11"/>
    </row>
    <row r="71" spans="1:10" ht="22.5" customHeight="1" x14ac:dyDescent="0.25">
      <c r="A71" s="7" t="s">
        <v>36</v>
      </c>
      <c r="B71" s="8" t="s">
        <v>37</v>
      </c>
      <c r="C71" s="9">
        <v>10</v>
      </c>
      <c r="D71" s="10">
        <f>IFERROR(VLOOKUP(B71, FINANCIERO!A:D, 4, FALSE), "")</f>
        <v>0.75</v>
      </c>
      <c r="E71" s="11">
        <f t="shared" si="7"/>
        <v>7.5</v>
      </c>
      <c r="F71" s="18"/>
      <c r="G71" s="13" t="str">
        <f t="shared" si="1"/>
        <v/>
      </c>
      <c r="H71" s="13"/>
      <c r="I71" s="14"/>
      <c r="J71" s="11"/>
    </row>
    <row r="72" spans="1:10" ht="22.5" customHeight="1" x14ac:dyDescent="0.25">
      <c r="A72" s="7" t="s">
        <v>36</v>
      </c>
      <c r="B72" s="8" t="s">
        <v>38</v>
      </c>
      <c r="C72" s="9">
        <v>20</v>
      </c>
      <c r="D72" s="10">
        <f>IFERROR(VLOOKUP(B72, FINANCIERO!A:D, 4, FALSE), "")</f>
        <v>5</v>
      </c>
      <c r="E72" s="11">
        <f t="shared" si="7"/>
        <v>100</v>
      </c>
      <c r="F72" s="18"/>
      <c r="G72" s="13" t="str">
        <f t="shared" si="1"/>
        <v/>
      </c>
      <c r="H72" s="13"/>
      <c r="I72" s="14"/>
      <c r="J72" s="11"/>
    </row>
    <row r="73" spans="1:10" ht="22.5" customHeight="1" x14ac:dyDescent="0.25">
      <c r="A73" s="7" t="s">
        <v>36</v>
      </c>
      <c r="B73" s="8" t="s">
        <v>39</v>
      </c>
      <c r="C73" s="9">
        <v>30</v>
      </c>
      <c r="D73" s="10">
        <f>IFERROR(VLOOKUP(B73, FINANCIERO!A:D, 4, FALSE), "")</f>
        <v>3.5</v>
      </c>
      <c r="E73" s="11">
        <f t="shared" si="7"/>
        <v>105</v>
      </c>
      <c r="F73" s="18"/>
      <c r="G73" s="13" t="str">
        <f t="shared" si="1"/>
        <v/>
      </c>
      <c r="H73" s="13"/>
      <c r="I73" s="14"/>
      <c r="J73" s="11"/>
    </row>
    <row r="74" spans="1:10" ht="22.5" customHeight="1" x14ac:dyDescent="0.25">
      <c r="A74" s="7" t="s">
        <v>36</v>
      </c>
      <c r="B74" s="28" t="s">
        <v>40</v>
      </c>
      <c r="C74" s="9">
        <v>10</v>
      </c>
      <c r="D74" s="10">
        <f>IFERROR(VLOOKUP(B74, FINANCIERO!A:D, 4, FALSE), "")</f>
        <v>10</v>
      </c>
      <c r="E74" s="11">
        <f t="shared" si="7"/>
        <v>100</v>
      </c>
      <c r="F74" s="18"/>
      <c r="G74" s="13" t="str">
        <f t="shared" si="1"/>
        <v/>
      </c>
      <c r="H74" s="13"/>
      <c r="I74" s="14"/>
      <c r="J74" s="11"/>
    </row>
    <row r="75" spans="1:10" ht="22.5" customHeight="1" x14ac:dyDescent="0.25">
      <c r="A75" s="7" t="s">
        <v>36</v>
      </c>
      <c r="B75" s="15" t="s">
        <v>15</v>
      </c>
      <c r="C75" s="9">
        <v>193</v>
      </c>
      <c r="D75" s="10">
        <f>IFERROR(VLOOKUP(B75, FINANCIERO!A:D, 4, FALSE), "")</f>
        <v>3.4688413333333337</v>
      </c>
      <c r="E75" s="11">
        <f t="shared" si="7"/>
        <v>669.48637733333339</v>
      </c>
      <c r="F75" s="18"/>
      <c r="G75" s="13" t="str">
        <f t="shared" si="1"/>
        <v/>
      </c>
      <c r="H75" s="13"/>
      <c r="I75" s="14"/>
      <c r="J75" s="11"/>
    </row>
    <row r="76" spans="1:10" ht="22.5" customHeight="1" x14ac:dyDescent="0.25">
      <c r="A76" s="7" t="s">
        <v>36</v>
      </c>
      <c r="B76" s="16" t="s">
        <v>16</v>
      </c>
      <c r="C76" s="9">
        <v>1</v>
      </c>
      <c r="D76" s="10">
        <f>IFERROR(VLOOKUP(B76, FINANCIERO!A:D, 4, FALSE), "")</f>
        <v>66.987179487179489</v>
      </c>
      <c r="E76" s="11">
        <f t="shared" si="7"/>
        <v>66.987179487179489</v>
      </c>
      <c r="F76" s="18"/>
      <c r="G76" s="13" t="str">
        <f t="shared" si="1"/>
        <v/>
      </c>
      <c r="H76" s="13"/>
      <c r="I76" s="14"/>
      <c r="J76" s="11"/>
    </row>
    <row r="77" spans="1:10" ht="22.5" customHeight="1" x14ac:dyDescent="0.25">
      <c r="A77" s="7" t="s">
        <v>36</v>
      </c>
      <c r="B77" s="16" t="s">
        <v>17</v>
      </c>
      <c r="C77" s="9">
        <v>1</v>
      </c>
      <c r="D77" s="10">
        <f>IFERROR(VLOOKUP(B77, FINANCIERO!A:D, 4, FALSE), "")</f>
        <v>35.909090909090907</v>
      </c>
      <c r="E77" s="11">
        <f t="shared" si="7"/>
        <v>35.909090909090907</v>
      </c>
      <c r="F77" s="18"/>
      <c r="G77" s="13" t="str">
        <f t="shared" si="1"/>
        <v/>
      </c>
      <c r="H77" s="13"/>
      <c r="I77" s="14"/>
      <c r="J77" s="11"/>
    </row>
    <row r="78" spans="1:10" ht="22.5" customHeight="1" x14ac:dyDescent="0.25">
      <c r="A78" s="7" t="s">
        <v>36</v>
      </c>
      <c r="B78" s="26" t="s">
        <v>18</v>
      </c>
      <c r="C78" s="9">
        <v>1</v>
      </c>
      <c r="D78" s="10">
        <f>IFERROR(VLOOKUP(B78, FINANCIERO!A:D, 4, FALSE), "")</f>
        <v>103.404</v>
      </c>
      <c r="E78" s="11">
        <f t="shared" si="7"/>
        <v>103.404</v>
      </c>
      <c r="F78" s="18"/>
      <c r="G78" s="13" t="str">
        <f t="shared" si="1"/>
        <v/>
      </c>
      <c r="H78" s="13"/>
      <c r="I78" s="14"/>
      <c r="J78" s="11"/>
    </row>
    <row r="79" spans="1:10" ht="22.5" customHeight="1" x14ac:dyDescent="0.25">
      <c r="A79" s="7" t="s">
        <v>36</v>
      </c>
      <c r="B79" s="26" t="s">
        <v>19</v>
      </c>
      <c r="C79" s="9">
        <v>1</v>
      </c>
      <c r="D79" s="10">
        <f>IFERROR(VLOOKUP(B79, FINANCIERO!A:D, 4, FALSE), "")</f>
        <v>5.37514</v>
      </c>
      <c r="E79" s="11">
        <f t="shared" si="7"/>
        <v>5.37514</v>
      </c>
      <c r="F79" s="18"/>
      <c r="G79" s="13" t="str">
        <f t="shared" si="1"/>
        <v/>
      </c>
      <c r="H79" s="13"/>
      <c r="I79" s="14"/>
      <c r="J79" s="11"/>
    </row>
    <row r="80" spans="1:10" ht="22.5" customHeight="1" x14ac:dyDescent="0.25">
      <c r="A80" s="7" t="s">
        <v>36</v>
      </c>
      <c r="B80" s="26" t="s">
        <v>20</v>
      </c>
      <c r="C80" s="9">
        <v>2</v>
      </c>
      <c r="D80" s="10">
        <f>IFERROR(VLOOKUP(B80, FINANCIERO!A:D, 4, FALSE), "")</f>
        <v>24.625</v>
      </c>
      <c r="E80" s="11">
        <f t="shared" si="7"/>
        <v>49.25</v>
      </c>
      <c r="F80" s="18"/>
      <c r="G80" s="13" t="str">
        <f t="shared" si="1"/>
        <v/>
      </c>
      <c r="H80" s="13"/>
      <c r="I80" s="14"/>
      <c r="J80" s="11"/>
    </row>
    <row r="81" spans="1:10" ht="22.5" customHeight="1" x14ac:dyDescent="0.25">
      <c r="A81" s="19"/>
      <c r="B81" s="27"/>
      <c r="C81" s="20"/>
      <c r="D81" s="21" t="str">
        <f>IFERROR(VLOOKUP(B81, FINANCIERO!A:D, 4, FALSE), "")</f>
        <v/>
      </c>
      <c r="E81" s="22">
        <f>SUM(E68:E80)</f>
        <v>5411.0315793962709</v>
      </c>
      <c r="F81" s="22">
        <v>13900</v>
      </c>
      <c r="G81" s="23">
        <f t="shared" si="1"/>
        <v>0.38928284743858066</v>
      </c>
      <c r="H81" s="23">
        <f>100%-G81</f>
        <v>0.61071715256141934</v>
      </c>
      <c r="I81" s="24">
        <f>(F81-E81)/E81*100</f>
        <v>156.88262572570082</v>
      </c>
      <c r="J81" s="25">
        <f>F81-E81</f>
        <v>8488.9684206037291</v>
      </c>
    </row>
    <row r="82" spans="1:10" ht="22.5" customHeight="1" x14ac:dyDescent="0.25">
      <c r="A82" s="7" t="s">
        <v>41</v>
      </c>
      <c r="B82" s="8" t="s">
        <v>11</v>
      </c>
      <c r="C82" s="9">
        <v>220</v>
      </c>
      <c r="D82" s="10">
        <f>IFERROR(VLOOKUP(B82, FINANCIERO!A:D, 4, FALSE), "")</f>
        <v>12.925000000000001</v>
      </c>
      <c r="E82" s="11">
        <f t="shared" ref="E82:E92" si="8">C82*D82</f>
        <v>2843.5</v>
      </c>
      <c r="F82" s="18"/>
      <c r="G82" s="13" t="str">
        <f t="shared" si="1"/>
        <v/>
      </c>
      <c r="H82" s="13"/>
      <c r="I82" s="14"/>
      <c r="J82" s="11"/>
    </row>
    <row r="83" spans="1:10" ht="22.5" customHeight="1" x14ac:dyDescent="0.25">
      <c r="A83" s="7" t="s">
        <v>41</v>
      </c>
      <c r="B83" s="8" t="s">
        <v>12</v>
      </c>
      <c r="C83" s="9">
        <v>3</v>
      </c>
      <c r="D83" s="10">
        <f>IFERROR(VLOOKUP(B83, FINANCIERO!A:D, 4, FALSE), "")</f>
        <v>225.53993055555554</v>
      </c>
      <c r="E83" s="11">
        <f t="shared" si="8"/>
        <v>676.61979166666663</v>
      </c>
      <c r="F83" s="18"/>
      <c r="G83" s="13" t="str">
        <f t="shared" si="1"/>
        <v/>
      </c>
      <c r="H83" s="13"/>
      <c r="I83" s="14"/>
      <c r="J83" s="11"/>
    </row>
    <row r="84" spans="1:10" ht="22.5" customHeight="1" x14ac:dyDescent="0.25">
      <c r="A84" s="7" t="s">
        <v>41</v>
      </c>
      <c r="B84" s="8" t="s">
        <v>42</v>
      </c>
      <c r="C84" s="9">
        <v>30</v>
      </c>
      <c r="D84" s="10" t="str">
        <f>IFERROR(VLOOKUP(B84, FINANCIERO!A:D, 4, FALSE), "")</f>
        <v/>
      </c>
      <c r="E84" s="11" t="e">
        <f t="shared" si="8"/>
        <v>#VALUE!</v>
      </c>
      <c r="F84" s="18"/>
      <c r="G84" s="13" t="str">
        <f t="shared" si="1"/>
        <v/>
      </c>
      <c r="H84" s="13"/>
      <c r="I84" s="14"/>
      <c r="J84" s="11"/>
    </row>
    <row r="85" spans="1:10" ht="22.5" customHeight="1" x14ac:dyDescent="0.25">
      <c r="A85" s="7" t="s">
        <v>41</v>
      </c>
      <c r="B85" s="8" t="s">
        <v>14</v>
      </c>
      <c r="C85" s="9">
        <v>15</v>
      </c>
      <c r="D85" s="10">
        <f>IFERROR(VLOOKUP(B85, FINANCIERO!A:D, 4, FALSE), "")</f>
        <v>5.6332599999999999</v>
      </c>
      <c r="E85" s="11">
        <f t="shared" si="8"/>
        <v>84.498899999999992</v>
      </c>
      <c r="F85" s="18"/>
      <c r="G85" s="13" t="str">
        <f t="shared" si="1"/>
        <v/>
      </c>
      <c r="H85" s="13"/>
      <c r="I85" s="14"/>
      <c r="J85" s="11"/>
    </row>
    <row r="86" spans="1:10" ht="22.5" customHeight="1" x14ac:dyDescent="0.25">
      <c r="A86" s="7" t="s">
        <v>41</v>
      </c>
      <c r="B86" s="8" t="s">
        <v>13</v>
      </c>
      <c r="C86" s="9">
        <v>1</v>
      </c>
      <c r="D86" s="10">
        <f>IFERROR(VLOOKUP(B86, FINANCIERO!A:D, 4, FALSE), "")</f>
        <v>648</v>
      </c>
      <c r="E86" s="11">
        <f t="shared" si="8"/>
        <v>648</v>
      </c>
      <c r="F86" s="18"/>
      <c r="G86" s="13" t="str">
        <f t="shared" si="1"/>
        <v/>
      </c>
      <c r="H86" s="13"/>
      <c r="I86" s="14"/>
      <c r="J86" s="11"/>
    </row>
    <row r="87" spans="1:10" ht="22.5" customHeight="1" x14ac:dyDescent="0.25">
      <c r="A87" s="7" t="s">
        <v>41</v>
      </c>
      <c r="B87" s="15" t="s">
        <v>15</v>
      </c>
      <c r="C87" s="9">
        <v>193</v>
      </c>
      <c r="D87" s="10">
        <f>IFERROR(VLOOKUP(B87, FINANCIERO!A:D, 4, FALSE), "")</f>
        <v>3.4688413333333337</v>
      </c>
      <c r="E87" s="11">
        <f t="shared" si="8"/>
        <v>669.48637733333339</v>
      </c>
      <c r="F87" s="18"/>
      <c r="G87" s="13" t="str">
        <f t="shared" si="1"/>
        <v/>
      </c>
      <c r="H87" s="13"/>
      <c r="I87" s="14"/>
      <c r="J87" s="11"/>
    </row>
    <row r="88" spans="1:10" ht="22.5" customHeight="1" x14ac:dyDescent="0.25">
      <c r="A88" s="7" t="s">
        <v>41</v>
      </c>
      <c r="B88" s="16" t="s">
        <v>16</v>
      </c>
      <c r="C88" s="9">
        <v>1</v>
      </c>
      <c r="D88" s="10">
        <f>IFERROR(VLOOKUP(B88, FINANCIERO!A:D, 4, FALSE), "")</f>
        <v>66.987179487179489</v>
      </c>
      <c r="E88" s="11">
        <f t="shared" si="8"/>
        <v>66.987179487179489</v>
      </c>
      <c r="F88" s="18"/>
      <c r="G88" s="13" t="str">
        <f t="shared" si="1"/>
        <v/>
      </c>
      <c r="H88" s="13"/>
      <c r="I88" s="14"/>
      <c r="J88" s="11"/>
    </row>
    <row r="89" spans="1:10" ht="22.5" customHeight="1" x14ac:dyDescent="0.25">
      <c r="A89" s="7" t="s">
        <v>41</v>
      </c>
      <c r="B89" s="16" t="s">
        <v>17</v>
      </c>
      <c r="C89" s="9">
        <v>1</v>
      </c>
      <c r="D89" s="10">
        <f>IFERROR(VLOOKUP(B89, FINANCIERO!A:D, 4, FALSE), "")</f>
        <v>35.909090909090907</v>
      </c>
      <c r="E89" s="11">
        <f t="shared" si="8"/>
        <v>35.909090909090907</v>
      </c>
      <c r="F89" s="18"/>
      <c r="G89" s="13" t="str">
        <f t="shared" si="1"/>
        <v/>
      </c>
      <c r="H89" s="13"/>
      <c r="I89" s="14"/>
      <c r="J89" s="11"/>
    </row>
    <row r="90" spans="1:10" ht="22.5" customHeight="1" x14ac:dyDescent="0.25">
      <c r="A90" s="7" t="s">
        <v>41</v>
      </c>
      <c r="B90" s="26" t="s">
        <v>18</v>
      </c>
      <c r="C90" s="9">
        <v>1</v>
      </c>
      <c r="D90" s="10">
        <f>IFERROR(VLOOKUP(B90, FINANCIERO!A:D, 4, FALSE), "")</f>
        <v>103.404</v>
      </c>
      <c r="E90" s="11">
        <f t="shared" si="8"/>
        <v>103.404</v>
      </c>
      <c r="F90" s="18"/>
      <c r="G90" s="13" t="str">
        <f t="shared" si="1"/>
        <v/>
      </c>
      <c r="H90" s="13"/>
      <c r="I90" s="14"/>
      <c r="J90" s="11"/>
    </row>
    <row r="91" spans="1:10" ht="22.5" customHeight="1" x14ac:dyDescent="0.25">
      <c r="A91" s="7" t="s">
        <v>41</v>
      </c>
      <c r="B91" s="26" t="s">
        <v>19</v>
      </c>
      <c r="C91" s="9">
        <v>1</v>
      </c>
      <c r="D91" s="10">
        <f>IFERROR(VLOOKUP(B91, FINANCIERO!A:D, 4, FALSE), "")</f>
        <v>5.37514</v>
      </c>
      <c r="E91" s="11">
        <f t="shared" si="8"/>
        <v>5.37514</v>
      </c>
      <c r="F91" s="18"/>
      <c r="G91" s="13" t="str">
        <f t="shared" si="1"/>
        <v/>
      </c>
      <c r="H91" s="13"/>
      <c r="I91" s="14"/>
      <c r="J91" s="11"/>
    </row>
    <row r="92" spans="1:10" ht="22.5" customHeight="1" x14ac:dyDescent="0.25">
      <c r="A92" s="7" t="s">
        <v>41</v>
      </c>
      <c r="B92" s="26" t="s">
        <v>20</v>
      </c>
      <c r="C92" s="9">
        <v>2</v>
      </c>
      <c r="D92" s="10">
        <f>IFERROR(VLOOKUP(B92, FINANCIERO!A:D, 4, FALSE), "")</f>
        <v>24.625</v>
      </c>
      <c r="E92" s="11">
        <f t="shared" si="8"/>
        <v>49.25</v>
      </c>
      <c r="F92" s="18"/>
      <c r="G92" s="13" t="str">
        <f t="shared" si="1"/>
        <v/>
      </c>
      <c r="H92" s="13"/>
      <c r="I92" s="14"/>
      <c r="J92" s="11"/>
    </row>
    <row r="93" spans="1:10" ht="22.5" customHeight="1" x14ac:dyDescent="0.25">
      <c r="A93" s="19"/>
      <c r="B93" s="27"/>
      <c r="C93" s="20"/>
      <c r="D93" s="21" t="str">
        <f>IFERROR(VLOOKUP(B93, FINANCIERO!A:D, 4, FALSE), "")</f>
        <v/>
      </c>
      <c r="E93" s="22" t="e">
        <f>SUM(E82:E92)</f>
        <v>#VALUE!</v>
      </c>
      <c r="F93" s="22">
        <v>13900</v>
      </c>
      <c r="G93" s="23" t="e">
        <f t="shared" si="1"/>
        <v>#VALUE!</v>
      </c>
      <c r="H93" s="23" t="e">
        <f>100%-G93</f>
        <v>#VALUE!</v>
      </c>
      <c r="I93" s="24" t="e">
        <f>(F93-E93)/E93*100</f>
        <v>#VALUE!</v>
      </c>
      <c r="J93" s="25" t="e">
        <f>F93-E93</f>
        <v>#VALUE!</v>
      </c>
    </row>
    <row r="94" spans="1:10" ht="22.5" customHeight="1" x14ac:dyDescent="0.25">
      <c r="A94" s="7" t="s">
        <v>43</v>
      </c>
      <c r="B94" s="8" t="s">
        <v>11</v>
      </c>
      <c r="C94" s="9">
        <v>160</v>
      </c>
      <c r="D94" s="10">
        <f>IFERROR(VLOOKUP(B94, FINANCIERO!A:D, 4, FALSE), "")</f>
        <v>12.925000000000001</v>
      </c>
      <c r="E94" s="11">
        <f t="shared" ref="E94:E102" si="9">C94*D94</f>
        <v>2068</v>
      </c>
      <c r="F94" s="18"/>
      <c r="G94" s="13" t="str">
        <f t="shared" si="1"/>
        <v/>
      </c>
      <c r="H94" s="13"/>
      <c r="I94" s="14"/>
      <c r="J94" s="11"/>
    </row>
    <row r="95" spans="1:10" ht="22.5" customHeight="1" x14ac:dyDescent="0.25">
      <c r="A95" s="7" t="s">
        <v>43</v>
      </c>
      <c r="B95" s="8" t="s">
        <v>12</v>
      </c>
      <c r="C95" s="9">
        <v>3</v>
      </c>
      <c r="D95" s="10">
        <f>IFERROR(VLOOKUP(B95, FINANCIERO!A:D, 4, FALSE), "")</f>
        <v>225.53993055555554</v>
      </c>
      <c r="E95" s="11">
        <f t="shared" si="9"/>
        <v>676.61979166666663</v>
      </c>
      <c r="F95" s="18"/>
      <c r="G95" s="13" t="str">
        <f t="shared" si="1"/>
        <v/>
      </c>
      <c r="H95" s="13"/>
      <c r="I95" s="14"/>
      <c r="J95" s="11"/>
    </row>
    <row r="96" spans="1:10" ht="22.5" customHeight="1" x14ac:dyDescent="0.25">
      <c r="A96" s="7" t="s">
        <v>43</v>
      </c>
      <c r="B96" s="8" t="s">
        <v>44</v>
      </c>
      <c r="C96" s="9">
        <v>1</v>
      </c>
      <c r="D96" s="10">
        <f>IFERROR(VLOOKUP(B96, FINANCIERO!A:D, 4, FALSE), "")</f>
        <v>534</v>
      </c>
      <c r="E96" s="11">
        <f t="shared" si="9"/>
        <v>534</v>
      </c>
      <c r="F96" s="18"/>
      <c r="G96" s="13" t="str">
        <f t="shared" si="1"/>
        <v/>
      </c>
      <c r="H96" s="13"/>
      <c r="I96" s="14"/>
      <c r="J96" s="11"/>
    </row>
    <row r="97" spans="1:10" ht="22.5" customHeight="1" x14ac:dyDescent="0.25">
      <c r="A97" s="7" t="s">
        <v>43</v>
      </c>
      <c r="B97" s="15" t="s">
        <v>15</v>
      </c>
      <c r="C97" s="9">
        <v>193</v>
      </c>
      <c r="D97" s="10">
        <f>IFERROR(VLOOKUP(B97, FINANCIERO!A:D, 4, FALSE), "")</f>
        <v>3.4688413333333337</v>
      </c>
      <c r="E97" s="11">
        <f t="shared" si="9"/>
        <v>669.48637733333339</v>
      </c>
      <c r="F97" s="18"/>
      <c r="G97" s="13" t="str">
        <f t="shared" si="1"/>
        <v/>
      </c>
      <c r="H97" s="13"/>
      <c r="I97" s="14"/>
      <c r="J97" s="11"/>
    </row>
    <row r="98" spans="1:10" ht="22.5" customHeight="1" x14ac:dyDescent="0.25">
      <c r="A98" s="7" t="s">
        <v>43</v>
      </c>
      <c r="B98" s="16" t="s">
        <v>16</v>
      </c>
      <c r="C98" s="9">
        <v>1</v>
      </c>
      <c r="D98" s="10">
        <f>IFERROR(VLOOKUP(B98, FINANCIERO!A:D, 4, FALSE), "")</f>
        <v>66.987179487179489</v>
      </c>
      <c r="E98" s="11">
        <f t="shared" si="9"/>
        <v>66.987179487179489</v>
      </c>
      <c r="F98" s="18"/>
      <c r="G98" s="13" t="str">
        <f t="shared" si="1"/>
        <v/>
      </c>
      <c r="H98" s="13"/>
      <c r="I98" s="14"/>
      <c r="J98" s="11"/>
    </row>
    <row r="99" spans="1:10" ht="22.5" customHeight="1" x14ac:dyDescent="0.25">
      <c r="A99" s="7" t="s">
        <v>43</v>
      </c>
      <c r="B99" s="26" t="s">
        <v>18</v>
      </c>
      <c r="C99" s="9">
        <v>1</v>
      </c>
      <c r="D99" s="10">
        <f>IFERROR(VLOOKUP(B99, FINANCIERO!A:D, 4, FALSE), "")</f>
        <v>103.404</v>
      </c>
      <c r="E99" s="11">
        <f t="shared" si="9"/>
        <v>103.404</v>
      </c>
      <c r="F99" s="18"/>
      <c r="G99" s="13" t="str">
        <f t="shared" si="1"/>
        <v/>
      </c>
      <c r="H99" s="13"/>
      <c r="I99" s="14"/>
      <c r="J99" s="11"/>
    </row>
    <row r="100" spans="1:10" ht="22.5" customHeight="1" x14ac:dyDescent="0.25">
      <c r="A100" s="7" t="s">
        <v>43</v>
      </c>
      <c r="B100" s="26" t="s">
        <v>19</v>
      </c>
      <c r="C100" s="9">
        <v>1</v>
      </c>
      <c r="D100" s="10">
        <f>IFERROR(VLOOKUP(B100, FINANCIERO!A:D, 4, FALSE), "")</f>
        <v>5.37514</v>
      </c>
      <c r="E100" s="11">
        <f t="shared" si="9"/>
        <v>5.37514</v>
      </c>
      <c r="F100" s="18"/>
      <c r="G100" s="13" t="str">
        <f t="shared" si="1"/>
        <v/>
      </c>
      <c r="H100" s="13"/>
      <c r="I100" s="14"/>
      <c r="J100" s="11"/>
    </row>
    <row r="101" spans="1:10" ht="22.5" customHeight="1" x14ac:dyDescent="0.25">
      <c r="A101" s="7" t="s">
        <v>43</v>
      </c>
      <c r="B101" s="16" t="s">
        <v>17</v>
      </c>
      <c r="C101" s="9">
        <v>1</v>
      </c>
      <c r="D101" s="10">
        <f>IFERROR(VLOOKUP(B101, FINANCIERO!A:D, 4, FALSE), "")</f>
        <v>35.909090909090907</v>
      </c>
      <c r="E101" s="11">
        <f t="shared" si="9"/>
        <v>35.909090909090907</v>
      </c>
      <c r="F101" s="18"/>
      <c r="G101" s="13" t="str">
        <f t="shared" si="1"/>
        <v/>
      </c>
      <c r="H101" s="13"/>
      <c r="I101" s="14"/>
      <c r="J101" s="11"/>
    </row>
    <row r="102" spans="1:10" ht="22.5" customHeight="1" x14ac:dyDescent="0.25">
      <c r="A102" s="7" t="s">
        <v>43</v>
      </c>
      <c r="B102" s="26" t="s">
        <v>20</v>
      </c>
      <c r="C102" s="9">
        <v>2</v>
      </c>
      <c r="D102" s="10">
        <f>IFERROR(VLOOKUP(B102, FINANCIERO!A:D, 4, FALSE), "")</f>
        <v>24.625</v>
      </c>
      <c r="E102" s="11">
        <f t="shared" si="9"/>
        <v>49.25</v>
      </c>
      <c r="F102" s="18"/>
      <c r="G102" s="13" t="str">
        <f t="shared" si="1"/>
        <v/>
      </c>
      <c r="H102" s="13"/>
      <c r="I102" s="14"/>
      <c r="J102" s="11"/>
    </row>
    <row r="103" spans="1:10" ht="22.5" customHeight="1" x14ac:dyDescent="0.25">
      <c r="A103" s="19"/>
      <c r="B103" s="27"/>
      <c r="C103" s="20"/>
      <c r="D103" s="21" t="str">
        <f>IFERROR(VLOOKUP(B103, FINANCIERO!A:D, 4, FALSE), "")</f>
        <v/>
      </c>
      <c r="E103" s="22">
        <f>SUM(E94:E102)</f>
        <v>4209.03157939627</v>
      </c>
      <c r="F103" s="22">
        <v>10000</v>
      </c>
      <c r="G103" s="23">
        <f t="shared" si="1"/>
        <v>0.42090315793962702</v>
      </c>
      <c r="H103" s="23">
        <f>100%-G103</f>
        <v>0.57909684206037304</v>
      </c>
      <c r="I103" s="24">
        <f>(F103-E103)/E103*100</f>
        <v>137.58434241622791</v>
      </c>
      <c r="J103" s="25">
        <f>F103-E103</f>
        <v>5790.96842060373</v>
      </c>
    </row>
    <row r="104" spans="1:10" ht="22.5" customHeight="1" x14ac:dyDescent="0.25">
      <c r="A104" s="7" t="s">
        <v>45</v>
      </c>
      <c r="B104" s="8" t="s">
        <v>11</v>
      </c>
      <c r="C104" s="9">
        <v>140</v>
      </c>
      <c r="D104" s="10">
        <f>IFERROR(VLOOKUP(B104, FINANCIERO!A:D, 4, FALSE), "")</f>
        <v>12.925000000000001</v>
      </c>
      <c r="E104" s="11">
        <f t="shared" ref="E104:E113" si="10">C104*D104</f>
        <v>1809.5</v>
      </c>
      <c r="F104" s="18"/>
      <c r="G104" s="13" t="str">
        <f t="shared" si="1"/>
        <v/>
      </c>
      <c r="H104" s="13"/>
      <c r="I104" s="14"/>
      <c r="J104" s="11"/>
    </row>
    <row r="105" spans="1:10" ht="22.5" customHeight="1" x14ac:dyDescent="0.25">
      <c r="A105" s="7" t="s">
        <v>45</v>
      </c>
      <c r="B105" s="8" t="s">
        <v>13</v>
      </c>
      <c r="C105" s="9">
        <v>1</v>
      </c>
      <c r="D105" s="10">
        <f>IFERROR(VLOOKUP(B105, FINANCIERO!A:D, 4, FALSE), "")</f>
        <v>648</v>
      </c>
      <c r="E105" s="11">
        <f t="shared" si="10"/>
        <v>648</v>
      </c>
      <c r="F105" s="18"/>
      <c r="G105" s="13" t="str">
        <f t="shared" si="1"/>
        <v/>
      </c>
      <c r="H105" s="13"/>
      <c r="I105" s="14"/>
      <c r="J105" s="11"/>
    </row>
    <row r="106" spans="1:10" ht="22.5" customHeight="1" x14ac:dyDescent="0.25">
      <c r="A106" s="7" t="s">
        <v>45</v>
      </c>
      <c r="B106" s="8" t="s">
        <v>14</v>
      </c>
      <c r="C106" s="9">
        <v>15</v>
      </c>
      <c r="D106" s="10">
        <f>IFERROR(VLOOKUP(B106, FINANCIERO!A:D, 4, FALSE), "")</f>
        <v>5.6332599999999999</v>
      </c>
      <c r="E106" s="11">
        <f t="shared" si="10"/>
        <v>84.498899999999992</v>
      </c>
      <c r="F106" s="18"/>
      <c r="G106" s="13" t="str">
        <f t="shared" si="1"/>
        <v/>
      </c>
      <c r="H106" s="13"/>
      <c r="I106" s="14"/>
      <c r="J106" s="11"/>
    </row>
    <row r="107" spans="1:10" ht="22.5" customHeight="1" x14ac:dyDescent="0.25">
      <c r="A107" s="7" t="s">
        <v>45</v>
      </c>
      <c r="B107" s="8" t="s">
        <v>12</v>
      </c>
      <c r="C107" s="9">
        <v>2</v>
      </c>
      <c r="D107" s="10">
        <f>IFERROR(VLOOKUP(B107, FINANCIERO!A:D, 4, FALSE), "")</f>
        <v>225.53993055555554</v>
      </c>
      <c r="E107" s="11">
        <f t="shared" si="10"/>
        <v>451.07986111111109</v>
      </c>
      <c r="F107" s="18"/>
      <c r="G107" s="13" t="str">
        <f t="shared" si="1"/>
        <v/>
      </c>
      <c r="H107" s="13"/>
      <c r="I107" s="14"/>
      <c r="J107" s="11"/>
    </row>
    <row r="108" spans="1:10" ht="22.5" customHeight="1" x14ac:dyDescent="0.25">
      <c r="A108" s="7" t="s">
        <v>45</v>
      </c>
      <c r="B108" s="15" t="s">
        <v>15</v>
      </c>
      <c r="C108" s="9">
        <v>193</v>
      </c>
      <c r="D108" s="10">
        <f>IFERROR(VLOOKUP(B108, FINANCIERO!A:D, 4, FALSE), "")</f>
        <v>3.4688413333333337</v>
      </c>
      <c r="E108" s="11">
        <f t="shared" si="10"/>
        <v>669.48637733333339</v>
      </c>
      <c r="F108" s="18"/>
      <c r="G108" s="13" t="str">
        <f t="shared" si="1"/>
        <v/>
      </c>
      <c r="H108" s="13"/>
      <c r="I108" s="14"/>
      <c r="J108" s="11"/>
    </row>
    <row r="109" spans="1:10" ht="22.5" customHeight="1" x14ac:dyDescent="0.25">
      <c r="A109" s="7" t="s">
        <v>45</v>
      </c>
      <c r="B109" s="16" t="s">
        <v>16</v>
      </c>
      <c r="C109" s="9">
        <v>1</v>
      </c>
      <c r="D109" s="10">
        <f>IFERROR(VLOOKUP(B109, FINANCIERO!A:D, 4, FALSE), "")</f>
        <v>66.987179487179489</v>
      </c>
      <c r="E109" s="11">
        <f t="shared" si="10"/>
        <v>66.987179487179489</v>
      </c>
      <c r="F109" s="18"/>
      <c r="G109" s="13" t="str">
        <f t="shared" si="1"/>
        <v/>
      </c>
      <c r="H109" s="13"/>
      <c r="I109" s="14"/>
      <c r="J109" s="11"/>
    </row>
    <row r="110" spans="1:10" ht="22.5" customHeight="1" x14ac:dyDescent="0.25">
      <c r="A110" s="7" t="s">
        <v>45</v>
      </c>
      <c r="B110" s="16" t="s">
        <v>17</v>
      </c>
      <c r="C110" s="9">
        <v>1</v>
      </c>
      <c r="D110" s="10">
        <f>IFERROR(VLOOKUP(B110, FINANCIERO!A:D, 4, FALSE), "")</f>
        <v>35.909090909090907</v>
      </c>
      <c r="E110" s="11">
        <f t="shared" si="10"/>
        <v>35.909090909090907</v>
      </c>
      <c r="F110" s="18"/>
      <c r="G110" s="13" t="str">
        <f t="shared" si="1"/>
        <v/>
      </c>
      <c r="H110" s="13"/>
      <c r="I110" s="14"/>
      <c r="J110" s="11"/>
    </row>
    <row r="111" spans="1:10" ht="22.5" customHeight="1" x14ac:dyDescent="0.25">
      <c r="A111" s="7" t="s">
        <v>45</v>
      </c>
      <c r="B111" s="26" t="s">
        <v>18</v>
      </c>
      <c r="C111" s="9">
        <v>1</v>
      </c>
      <c r="D111" s="10">
        <f>IFERROR(VLOOKUP(B111, FINANCIERO!A:D, 4, FALSE), "")</f>
        <v>103.404</v>
      </c>
      <c r="E111" s="11">
        <f t="shared" si="10"/>
        <v>103.404</v>
      </c>
      <c r="F111" s="18"/>
      <c r="G111" s="13" t="str">
        <f t="shared" si="1"/>
        <v/>
      </c>
      <c r="H111" s="13"/>
      <c r="I111" s="14"/>
      <c r="J111" s="11"/>
    </row>
    <row r="112" spans="1:10" ht="22.5" customHeight="1" x14ac:dyDescent="0.25">
      <c r="A112" s="7" t="s">
        <v>45</v>
      </c>
      <c r="B112" s="26" t="s">
        <v>19</v>
      </c>
      <c r="C112" s="9">
        <v>1</v>
      </c>
      <c r="D112" s="10">
        <f>IFERROR(VLOOKUP(B112, FINANCIERO!A:D, 4, FALSE), "")</f>
        <v>5.37514</v>
      </c>
      <c r="E112" s="11">
        <f t="shared" si="10"/>
        <v>5.37514</v>
      </c>
      <c r="F112" s="18"/>
      <c r="G112" s="13" t="str">
        <f t="shared" si="1"/>
        <v/>
      </c>
      <c r="H112" s="13"/>
      <c r="I112" s="14"/>
      <c r="J112" s="11"/>
    </row>
    <row r="113" spans="1:10" ht="22.5" customHeight="1" x14ac:dyDescent="0.25">
      <c r="A113" s="7" t="s">
        <v>45</v>
      </c>
      <c r="B113" s="26" t="s">
        <v>20</v>
      </c>
      <c r="C113" s="9">
        <v>2</v>
      </c>
      <c r="D113" s="10">
        <f>IFERROR(VLOOKUP(B113, FINANCIERO!A:D, 4, FALSE), "")</f>
        <v>24.625</v>
      </c>
      <c r="E113" s="11">
        <f t="shared" si="10"/>
        <v>49.25</v>
      </c>
      <c r="F113" s="18"/>
      <c r="G113" s="13" t="str">
        <f t="shared" si="1"/>
        <v/>
      </c>
      <c r="H113" s="13"/>
      <c r="I113" s="14"/>
      <c r="J113" s="11"/>
    </row>
    <row r="114" spans="1:10" ht="22.5" customHeight="1" x14ac:dyDescent="0.25">
      <c r="A114" s="19"/>
      <c r="B114" s="27"/>
      <c r="C114" s="20"/>
      <c r="D114" s="21" t="str">
        <f>IFERROR(VLOOKUP(B114, FINANCIERO!A:D, 4, FALSE), "")</f>
        <v/>
      </c>
      <c r="E114" s="22">
        <f>SUM(E104:E113)</f>
        <v>3923.4905488407153</v>
      </c>
      <c r="F114" s="22">
        <v>10000</v>
      </c>
      <c r="G114" s="23">
        <f t="shared" si="1"/>
        <v>0.39234905488407151</v>
      </c>
      <c r="H114" s="23">
        <f>100%-G114</f>
        <v>0.60765094511592843</v>
      </c>
      <c r="I114" s="24">
        <f>(F114-E114)/E114*100</f>
        <v>154.87508827961184</v>
      </c>
      <c r="J114" s="25">
        <f>F114-E114</f>
        <v>6076.5094511592852</v>
      </c>
    </row>
    <row r="115" spans="1:10" ht="22.5" customHeight="1" x14ac:dyDescent="0.25">
      <c r="A115" s="7" t="s">
        <v>46</v>
      </c>
      <c r="B115" s="8" t="s">
        <v>11</v>
      </c>
      <c r="C115" s="9">
        <f>110*3</f>
        <v>330</v>
      </c>
      <c r="D115" s="10">
        <f>IFERROR(VLOOKUP(B115, FINANCIERO!A:D, 4, FALSE), "")</f>
        <v>12.925000000000001</v>
      </c>
      <c r="E115" s="11">
        <f t="shared" ref="E115:E124" si="11">C115*D115</f>
        <v>4265.25</v>
      </c>
      <c r="F115" s="18"/>
      <c r="G115" s="13" t="str">
        <f t="shared" si="1"/>
        <v/>
      </c>
      <c r="H115" s="13"/>
      <c r="I115" s="14"/>
      <c r="J115" s="11"/>
    </row>
    <row r="116" spans="1:10" ht="22.5" customHeight="1" x14ac:dyDescent="0.25">
      <c r="A116" s="7" t="s">
        <v>46</v>
      </c>
      <c r="B116" s="8" t="s">
        <v>12</v>
      </c>
      <c r="C116" s="9">
        <v>4</v>
      </c>
      <c r="D116" s="10">
        <f>IFERROR(VLOOKUP(B116, FINANCIERO!A:D, 4, FALSE), "")</f>
        <v>225.53993055555554</v>
      </c>
      <c r="E116" s="11">
        <f t="shared" si="11"/>
        <v>902.15972222222217</v>
      </c>
      <c r="F116" s="18"/>
      <c r="G116" s="13" t="str">
        <f t="shared" si="1"/>
        <v/>
      </c>
      <c r="H116" s="13"/>
      <c r="I116" s="14"/>
      <c r="J116" s="11"/>
    </row>
    <row r="117" spans="1:10" ht="22.5" customHeight="1" x14ac:dyDescent="0.25">
      <c r="A117" s="7" t="s">
        <v>46</v>
      </c>
      <c r="B117" s="8" t="s">
        <v>13</v>
      </c>
      <c r="C117" s="9">
        <v>1</v>
      </c>
      <c r="D117" s="10">
        <f>IFERROR(VLOOKUP(B117, FINANCIERO!A:D, 4, FALSE), "")</f>
        <v>648</v>
      </c>
      <c r="E117" s="11">
        <f t="shared" si="11"/>
        <v>648</v>
      </c>
      <c r="F117" s="18"/>
      <c r="G117" s="13" t="str">
        <f t="shared" si="1"/>
        <v/>
      </c>
      <c r="H117" s="13"/>
      <c r="I117" s="14"/>
      <c r="J117" s="11"/>
    </row>
    <row r="118" spans="1:10" ht="22.5" customHeight="1" x14ac:dyDescent="0.25">
      <c r="A118" s="7" t="s">
        <v>46</v>
      </c>
      <c r="B118" s="8" t="s">
        <v>14</v>
      </c>
      <c r="C118" s="9">
        <v>15</v>
      </c>
      <c r="D118" s="10">
        <f>IFERROR(VLOOKUP(B118, FINANCIERO!A:D, 4, FALSE), "")</f>
        <v>5.6332599999999999</v>
      </c>
      <c r="E118" s="11">
        <f t="shared" si="11"/>
        <v>84.498899999999992</v>
      </c>
      <c r="F118" s="18"/>
      <c r="G118" s="13" t="str">
        <f t="shared" si="1"/>
        <v/>
      </c>
      <c r="H118" s="13"/>
      <c r="I118" s="14"/>
      <c r="J118" s="11"/>
    </row>
    <row r="119" spans="1:10" ht="22.5" customHeight="1" x14ac:dyDescent="0.25">
      <c r="A119" s="7" t="s">
        <v>46</v>
      </c>
      <c r="B119" s="15" t="s">
        <v>15</v>
      </c>
      <c r="C119" s="9">
        <v>193</v>
      </c>
      <c r="D119" s="10">
        <f>IFERROR(VLOOKUP(B119, FINANCIERO!A:D, 4, FALSE), "")</f>
        <v>3.4688413333333337</v>
      </c>
      <c r="E119" s="11">
        <f t="shared" si="11"/>
        <v>669.48637733333339</v>
      </c>
      <c r="F119" s="18"/>
      <c r="G119" s="13" t="str">
        <f t="shared" si="1"/>
        <v/>
      </c>
      <c r="H119" s="13"/>
      <c r="I119" s="14"/>
      <c r="J119" s="11"/>
    </row>
    <row r="120" spans="1:10" ht="22.5" customHeight="1" x14ac:dyDescent="0.25">
      <c r="A120" s="7" t="s">
        <v>46</v>
      </c>
      <c r="B120" s="16" t="s">
        <v>16</v>
      </c>
      <c r="C120" s="9">
        <v>1</v>
      </c>
      <c r="D120" s="10">
        <f>IFERROR(VLOOKUP(B120, FINANCIERO!A:D, 4, FALSE), "")</f>
        <v>66.987179487179489</v>
      </c>
      <c r="E120" s="11">
        <f t="shared" si="11"/>
        <v>66.987179487179489</v>
      </c>
      <c r="F120" s="18"/>
      <c r="G120" s="13" t="str">
        <f t="shared" si="1"/>
        <v/>
      </c>
      <c r="H120" s="13"/>
      <c r="I120" s="14"/>
      <c r="J120" s="11"/>
    </row>
    <row r="121" spans="1:10" ht="22.5" customHeight="1" x14ac:dyDescent="0.25">
      <c r="A121" s="7" t="s">
        <v>46</v>
      </c>
      <c r="B121" s="16" t="s">
        <v>17</v>
      </c>
      <c r="C121" s="9">
        <v>1</v>
      </c>
      <c r="D121" s="10">
        <f>IFERROR(VLOOKUP(B121, FINANCIERO!A:D, 4, FALSE), "")</f>
        <v>35.909090909090907</v>
      </c>
      <c r="E121" s="11">
        <f t="shared" si="11"/>
        <v>35.909090909090907</v>
      </c>
      <c r="F121" s="18"/>
      <c r="G121" s="13" t="str">
        <f t="shared" si="1"/>
        <v/>
      </c>
      <c r="H121" s="13"/>
      <c r="I121" s="14"/>
      <c r="J121" s="11"/>
    </row>
    <row r="122" spans="1:10" ht="22.5" customHeight="1" x14ac:dyDescent="0.25">
      <c r="A122" s="7" t="s">
        <v>46</v>
      </c>
      <c r="B122" s="26" t="s">
        <v>18</v>
      </c>
      <c r="C122" s="9">
        <v>1</v>
      </c>
      <c r="D122" s="10">
        <f>IFERROR(VLOOKUP(B122, FINANCIERO!A:D, 4, FALSE), "")</f>
        <v>103.404</v>
      </c>
      <c r="E122" s="11">
        <f t="shared" si="11"/>
        <v>103.404</v>
      </c>
      <c r="F122" s="18"/>
      <c r="G122" s="13" t="str">
        <f t="shared" si="1"/>
        <v/>
      </c>
      <c r="H122" s="13"/>
      <c r="I122" s="14"/>
      <c r="J122" s="11"/>
    </row>
    <row r="123" spans="1:10" ht="22.5" customHeight="1" x14ac:dyDescent="0.25">
      <c r="A123" s="7" t="s">
        <v>46</v>
      </c>
      <c r="B123" s="26" t="s">
        <v>19</v>
      </c>
      <c r="C123" s="9">
        <v>1</v>
      </c>
      <c r="D123" s="10">
        <f>IFERROR(VLOOKUP(B123, FINANCIERO!A:D, 4, FALSE), "")</f>
        <v>5.37514</v>
      </c>
      <c r="E123" s="11">
        <f t="shared" si="11"/>
        <v>5.37514</v>
      </c>
      <c r="F123" s="18"/>
      <c r="G123" s="13" t="str">
        <f t="shared" si="1"/>
        <v/>
      </c>
      <c r="H123" s="13"/>
      <c r="I123" s="14"/>
      <c r="J123" s="11"/>
    </row>
    <row r="124" spans="1:10" ht="22.5" customHeight="1" x14ac:dyDescent="0.25">
      <c r="A124" s="7" t="s">
        <v>46</v>
      </c>
      <c r="B124" s="26" t="s">
        <v>20</v>
      </c>
      <c r="C124" s="9">
        <v>2</v>
      </c>
      <c r="D124" s="10">
        <f>IFERROR(VLOOKUP(B124, FINANCIERO!A:D, 4, FALSE), "")</f>
        <v>24.625</v>
      </c>
      <c r="E124" s="11">
        <f t="shared" si="11"/>
        <v>49.25</v>
      </c>
      <c r="F124" s="18"/>
      <c r="G124" s="13" t="str">
        <f t="shared" si="1"/>
        <v/>
      </c>
      <c r="H124" s="13"/>
      <c r="I124" s="14"/>
      <c r="J124" s="11"/>
    </row>
    <row r="125" spans="1:10" ht="22.5" customHeight="1" x14ac:dyDescent="0.25">
      <c r="A125" s="19"/>
      <c r="B125" s="27"/>
      <c r="C125" s="20"/>
      <c r="D125" s="21" t="str">
        <f>IFERROR(VLOOKUP(B125, FINANCIERO!A:D, 4, FALSE), "")</f>
        <v/>
      </c>
      <c r="E125" s="22">
        <f>SUM(E115:E124)</f>
        <v>6830.3204099518262</v>
      </c>
      <c r="F125" s="22">
        <v>16900</v>
      </c>
      <c r="G125" s="23">
        <f t="shared" si="1"/>
        <v>0.40416097100306664</v>
      </c>
      <c r="H125" s="23">
        <f>100%-G125</f>
        <v>0.59583902899693331</v>
      </c>
      <c r="I125" s="24">
        <f>(F125-E125)/E125*100</f>
        <v>147.42616723187066</v>
      </c>
      <c r="J125" s="25">
        <f>F125-E125</f>
        <v>10069.679590048174</v>
      </c>
    </row>
    <row r="126" spans="1:10" ht="22.5" customHeight="1" x14ac:dyDescent="0.25">
      <c r="A126" s="7" t="s">
        <v>47</v>
      </c>
      <c r="B126" s="8" t="s">
        <v>11</v>
      </c>
      <c r="C126" s="9">
        <f>110*4</f>
        <v>440</v>
      </c>
      <c r="D126" s="10">
        <f>IFERROR(VLOOKUP(B126, FINANCIERO!A:D, 4, FALSE), "")</f>
        <v>12.925000000000001</v>
      </c>
      <c r="E126" s="11">
        <f t="shared" ref="E126:E135" si="12">C126*D126</f>
        <v>5687</v>
      </c>
      <c r="F126" s="18"/>
      <c r="G126" s="13" t="str">
        <f t="shared" si="1"/>
        <v/>
      </c>
      <c r="H126" s="13"/>
      <c r="I126" s="14"/>
      <c r="J126" s="11"/>
    </row>
    <row r="127" spans="1:10" ht="22.5" customHeight="1" x14ac:dyDescent="0.25">
      <c r="A127" s="7" t="s">
        <v>47</v>
      </c>
      <c r="B127" s="8" t="s">
        <v>12</v>
      </c>
      <c r="C127" s="9">
        <v>5</v>
      </c>
      <c r="D127" s="10">
        <f>IFERROR(VLOOKUP(B127, FINANCIERO!A:D, 4, FALSE), "")</f>
        <v>225.53993055555554</v>
      </c>
      <c r="E127" s="11">
        <f t="shared" si="12"/>
        <v>1127.6996527777778</v>
      </c>
      <c r="F127" s="18"/>
      <c r="G127" s="13" t="str">
        <f t="shared" si="1"/>
        <v/>
      </c>
      <c r="H127" s="13"/>
      <c r="I127" s="14"/>
      <c r="J127" s="11"/>
    </row>
    <row r="128" spans="1:10" ht="22.5" customHeight="1" x14ac:dyDescent="0.25">
      <c r="A128" s="7" t="s">
        <v>47</v>
      </c>
      <c r="B128" s="8" t="s">
        <v>13</v>
      </c>
      <c r="C128" s="9">
        <v>1</v>
      </c>
      <c r="D128" s="10">
        <f>IFERROR(VLOOKUP(B128, FINANCIERO!A:D, 4, FALSE), "")</f>
        <v>648</v>
      </c>
      <c r="E128" s="11">
        <f t="shared" si="12"/>
        <v>648</v>
      </c>
      <c r="F128" s="18"/>
      <c r="G128" s="13" t="str">
        <f t="shared" si="1"/>
        <v/>
      </c>
      <c r="H128" s="13"/>
      <c r="I128" s="14"/>
      <c r="J128" s="11"/>
    </row>
    <row r="129" spans="1:10" ht="22.5" customHeight="1" x14ac:dyDescent="0.25">
      <c r="A129" s="7" t="s">
        <v>47</v>
      </c>
      <c r="B129" s="8" t="s">
        <v>14</v>
      </c>
      <c r="C129" s="9">
        <v>30</v>
      </c>
      <c r="D129" s="10">
        <f>IFERROR(VLOOKUP(B129, FINANCIERO!A:D, 4, FALSE), "")</f>
        <v>5.6332599999999999</v>
      </c>
      <c r="E129" s="11">
        <f t="shared" si="12"/>
        <v>168.99779999999998</v>
      </c>
      <c r="F129" s="18"/>
      <c r="G129" s="13" t="str">
        <f t="shared" si="1"/>
        <v/>
      </c>
      <c r="H129" s="13"/>
      <c r="I129" s="14"/>
      <c r="J129" s="11"/>
    </row>
    <row r="130" spans="1:10" ht="22.5" customHeight="1" x14ac:dyDescent="0.25">
      <c r="A130" s="7" t="s">
        <v>47</v>
      </c>
      <c r="B130" s="15" t="s">
        <v>15</v>
      </c>
      <c r="C130" s="9">
        <v>193</v>
      </c>
      <c r="D130" s="10">
        <f>IFERROR(VLOOKUP(B130, FINANCIERO!A:D, 4, FALSE), "")</f>
        <v>3.4688413333333337</v>
      </c>
      <c r="E130" s="11">
        <f t="shared" si="12"/>
        <v>669.48637733333339</v>
      </c>
      <c r="F130" s="18"/>
      <c r="G130" s="13" t="str">
        <f t="shared" si="1"/>
        <v/>
      </c>
      <c r="H130" s="13"/>
      <c r="I130" s="14"/>
      <c r="J130" s="11"/>
    </row>
    <row r="131" spans="1:10" ht="22.5" customHeight="1" x14ac:dyDescent="0.25">
      <c r="A131" s="7" t="s">
        <v>47</v>
      </c>
      <c r="B131" s="16" t="s">
        <v>16</v>
      </c>
      <c r="C131" s="9">
        <v>1</v>
      </c>
      <c r="D131" s="10">
        <f>IFERROR(VLOOKUP(B131, FINANCIERO!A:D, 4, FALSE), "")</f>
        <v>66.987179487179489</v>
      </c>
      <c r="E131" s="11">
        <f t="shared" si="12"/>
        <v>66.987179487179489</v>
      </c>
      <c r="F131" s="18"/>
      <c r="G131" s="13" t="str">
        <f t="shared" si="1"/>
        <v/>
      </c>
      <c r="H131" s="13"/>
      <c r="I131" s="14"/>
      <c r="J131" s="11"/>
    </row>
    <row r="132" spans="1:10" ht="22.5" customHeight="1" x14ac:dyDescent="0.25">
      <c r="A132" s="7" t="s">
        <v>47</v>
      </c>
      <c r="B132" s="16" t="s">
        <v>17</v>
      </c>
      <c r="C132" s="9">
        <v>1</v>
      </c>
      <c r="D132" s="10">
        <f>IFERROR(VLOOKUP(B132, FINANCIERO!A:D, 4, FALSE), "")</f>
        <v>35.909090909090907</v>
      </c>
      <c r="E132" s="11">
        <f t="shared" si="12"/>
        <v>35.909090909090907</v>
      </c>
      <c r="F132" s="18"/>
      <c r="G132" s="13" t="str">
        <f t="shared" si="1"/>
        <v/>
      </c>
      <c r="H132" s="13"/>
      <c r="I132" s="14"/>
      <c r="J132" s="11"/>
    </row>
    <row r="133" spans="1:10" ht="22.5" customHeight="1" x14ac:dyDescent="0.25">
      <c r="A133" s="7" t="s">
        <v>47</v>
      </c>
      <c r="B133" s="26" t="s">
        <v>18</v>
      </c>
      <c r="C133" s="9">
        <v>1</v>
      </c>
      <c r="D133" s="10">
        <f>IFERROR(VLOOKUP(B133, FINANCIERO!A:D, 4, FALSE), "")</f>
        <v>103.404</v>
      </c>
      <c r="E133" s="11">
        <f t="shared" si="12"/>
        <v>103.404</v>
      </c>
      <c r="F133" s="18"/>
      <c r="G133" s="13" t="str">
        <f t="shared" si="1"/>
        <v/>
      </c>
      <c r="H133" s="13"/>
      <c r="I133" s="14"/>
      <c r="J133" s="11"/>
    </row>
    <row r="134" spans="1:10" ht="22.5" customHeight="1" x14ac:dyDescent="0.25">
      <c r="A134" s="7" t="s">
        <v>47</v>
      </c>
      <c r="B134" s="26" t="s">
        <v>19</v>
      </c>
      <c r="C134" s="9">
        <v>1</v>
      </c>
      <c r="D134" s="10">
        <f>IFERROR(VLOOKUP(B134, FINANCIERO!A:D, 4, FALSE), "")</f>
        <v>5.37514</v>
      </c>
      <c r="E134" s="11">
        <f t="shared" si="12"/>
        <v>5.37514</v>
      </c>
      <c r="F134" s="18"/>
      <c r="G134" s="13" t="str">
        <f t="shared" si="1"/>
        <v/>
      </c>
      <c r="H134" s="13"/>
      <c r="I134" s="14"/>
      <c r="J134" s="11"/>
    </row>
    <row r="135" spans="1:10" ht="22.5" customHeight="1" x14ac:dyDescent="0.25">
      <c r="A135" s="7" t="s">
        <v>47</v>
      </c>
      <c r="B135" s="26" t="s">
        <v>20</v>
      </c>
      <c r="C135" s="9">
        <v>2</v>
      </c>
      <c r="D135" s="10">
        <f>IFERROR(VLOOKUP(B135, FINANCIERO!A:D, 4, FALSE), "")</f>
        <v>24.625</v>
      </c>
      <c r="E135" s="11">
        <f t="shared" si="12"/>
        <v>49.25</v>
      </c>
      <c r="F135" s="18"/>
      <c r="G135" s="13" t="str">
        <f t="shared" si="1"/>
        <v/>
      </c>
      <c r="H135" s="13"/>
      <c r="I135" s="14"/>
      <c r="J135" s="11"/>
    </row>
    <row r="136" spans="1:10" ht="22.5" customHeight="1" x14ac:dyDescent="0.25">
      <c r="A136" s="19"/>
      <c r="B136" s="27"/>
      <c r="C136" s="20"/>
      <c r="D136" s="21" t="str">
        <f>IFERROR(VLOOKUP(B136, FINANCIERO!A:D, 4, FALSE), "")</f>
        <v/>
      </c>
      <c r="E136" s="22">
        <f>SUM(E126:E135)</f>
        <v>8562.1092405073814</v>
      </c>
      <c r="F136" s="22">
        <v>18900</v>
      </c>
      <c r="G136" s="23">
        <f t="shared" si="1"/>
        <v>0.4530216529368985</v>
      </c>
      <c r="H136" s="23">
        <f>100%-G136</f>
        <v>0.54697834706310156</v>
      </c>
      <c r="I136" s="24">
        <f>(F136-E136)/E136*100</f>
        <v>120.7400007300071</v>
      </c>
      <c r="J136" s="25">
        <f>F136-E136</f>
        <v>10337.890759492619</v>
      </c>
    </row>
    <row r="137" spans="1:10" ht="22.5" customHeight="1" x14ac:dyDescent="0.25">
      <c r="A137" s="7" t="s">
        <v>48</v>
      </c>
      <c r="B137" s="8" t="s">
        <v>49</v>
      </c>
      <c r="C137" s="9">
        <v>200</v>
      </c>
      <c r="D137" s="10">
        <f>IFERROR(VLOOKUP(B137, FINANCIERO!A:D, 4, FALSE), "")</f>
        <v>4.8286066666666665</v>
      </c>
      <c r="E137" s="11">
        <f t="shared" ref="E137:E145" si="13">C137*D137</f>
        <v>965.72133333333329</v>
      </c>
      <c r="F137" s="18"/>
      <c r="G137" s="13" t="str">
        <f t="shared" si="1"/>
        <v/>
      </c>
      <c r="H137" s="13"/>
      <c r="I137" s="14"/>
      <c r="J137" s="11"/>
    </row>
    <row r="138" spans="1:10" ht="22.5" customHeight="1" x14ac:dyDescent="0.25">
      <c r="A138" s="7" t="s">
        <v>48</v>
      </c>
      <c r="B138" s="8" t="s">
        <v>13</v>
      </c>
      <c r="C138" s="9">
        <v>1</v>
      </c>
      <c r="D138" s="10">
        <f>IFERROR(VLOOKUP(B138, FINANCIERO!A:D, 4, FALSE), "")</f>
        <v>648</v>
      </c>
      <c r="E138" s="11">
        <f t="shared" si="13"/>
        <v>648</v>
      </c>
      <c r="F138" s="18"/>
      <c r="G138" s="13" t="str">
        <f t="shared" si="1"/>
        <v/>
      </c>
      <c r="H138" s="13"/>
      <c r="I138" s="14"/>
      <c r="J138" s="11"/>
    </row>
    <row r="139" spans="1:10" ht="22.5" customHeight="1" x14ac:dyDescent="0.25">
      <c r="A139" s="7" t="s">
        <v>48</v>
      </c>
      <c r="B139" s="8" t="s">
        <v>35</v>
      </c>
      <c r="C139" s="9">
        <v>30</v>
      </c>
      <c r="D139" s="10">
        <f>IFERROR(VLOOKUP(B139, FINANCIERO!A:D, 4, FALSE), "")</f>
        <v>3.6156666666666668</v>
      </c>
      <c r="E139" s="11">
        <f t="shared" si="13"/>
        <v>108.47</v>
      </c>
      <c r="F139" s="18"/>
      <c r="G139" s="13" t="str">
        <f t="shared" si="1"/>
        <v/>
      </c>
      <c r="H139" s="13"/>
      <c r="I139" s="14"/>
      <c r="J139" s="11"/>
    </row>
    <row r="140" spans="1:10" ht="22.5" customHeight="1" x14ac:dyDescent="0.25">
      <c r="A140" s="7" t="s">
        <v>48</v>
      </c>
      <c r="B140" s="15" t="s">
        <v>15</v>
      </c>
      <c r="C140" s="9">
        <v>193</v>
      </c>
      <c r="D140" s="10">
        <f>IFERROR(VLOOKUP(B140, FINANCIERO!A:D, 4, FALSE), "")</f>
        <v>3.4688413333333337</v>
      </c>
      <c r="E140" s="11">
        <f t="shared" si="13"/>
        <v>669.48637733333339</v>
      </c>
      <c r="F140" s="18"/>
      <c r="G140" s="13" t="str">
        <f t="shared" si="1"/>
        <v/>
      </c>
      <c r="H140" s="13"/>
      <c r="I140" s="14"/>
      <c r="J140" s="11"/>
    </row>
    <row r="141" spans="1:10" ht="22.5" customHeight="1" x14ac:dyDescent="0.25">
      <c r="A141" s="7" t="s">
        <v>48</v>
      </c>
      <c r="B141" s="16" t="s">
        <v>16</v>
      </c>
      <c r="C141" s="9">
        <v>1</v>
      </c>
      <c r="D141" s="10">
        <f>IFERROR(VLOOKUP(B141, FINANCIERO!A:D, 4, FALSE), "")</f>
        <v>66.987179487179489</v>
      </c>
      <c r="E141" s="11">
        <f t="shared" si="13"/>
        <v>66.987179487179489</v>
      </c>
      <c r="F141" s="18"/>
      <c r="G141" s="13" t="str">
        <f t="shared" si="1"/>
        <v/>
      </c>
      <c r="H141" s="13"/>
      <c r="I141" s="14"/>
      <c r="J141" s="11"/>
    </row>
    <row r="142" spans="1:10" ht="22.5" customHeight="1" x14ac:dyDescent="0.25">
      <c r="A142" s="7" t="s">
        <v>48</v>
      </c>
      <c r="B142" s="16" t="s">
        <v>17</v>
      </c>
      <c r="C142" s="9">
        <v>1</v>
      </c>
      <c r="D142" s="10">
        <f>IFERROR(VLOOKUP(B142, FINANCIERO!A:D, 4, FALSE), "")</f>
        <v>35.909090909090907</v>
      </c>
      <c r="E142" s="11">
        <f t="shared" si="13"/>
        <v>35.909090909090907</v>
      </c>
      <c r="F142" s="18"/>
      <c r="G142" s="13" t="str">
        <f t="shared" si="1"/>
        <v/>
      </c>
      <c r="H142" s="13"/>
      <c r="I142" s="14"/>
      <c r="J142" s="11"/>
    </row>
    <row r="143" spans="1:10" ht="22.5" customHeight="1" x14ac:dyDescent="0.25">
      <c r="A143" s="7" t="s">
        <v>48</v>
      </c>
      <c r="B143" s="26" t="s">
        <v>18</v>
      </c>
      <c r="C143" s="9">
        <v>1</v>
      </c>
      <c r="D143" s="10">
        <f>IFERROR(VLOOKUP(B143, FINANCIERO!A:D, 4, FALSE), "")</f>
        <v>103.404</v>
      </c>
      <c r="E143" s="11">
        <f t="shared" si="13"/>
        <v>103.404</v>
      </c>
      <c r="F143" s="18"/>
      <c r="G143" s="13" t="str">
        <f t="shared" si="1"/>
        <v/>
      </c>
      <c r="H143" s="13"/>
      <c r="I143" s="17"/>
      <c r="J143" s="18"/>
    </row>
    <row r="144" spans="1:10" ht="22.5" customHeight="1" x14ac:dyDescent="0.25">
      <c r="A144" s="7" t="s">
        <v>48</v>
      </c>
      <c r="B144" s="26" t="s">
        <v>19</v>
      </c>
      <c r="C144" s="9">
        <v>1</v>
      </c>
      <c r="D144" s="10">
        <f>IFERROR(VLOOKUP(B144, FINANCIERO!A:D, 4, FALSE), "")</f>
        <v>5.37514</v>
      </c>
      <c r="E144" s="11">
        <f t="shared" si="13"/>
        <v>5.37514</v>
      </c>
      <c r="F144" s="18"/>
      <c r="G144" s="13" t="str">
        <f t="shared" si="1"/>
        <v/>
      </c>
      <c r="H144" s="13"/>
      <c r="I144" s="14"/>
      <c r="J144" s="11"/>
    </row>
    <row r="145" spans="1:10" ht="22.5" customHeight="1" x14ac:dyDescent="0.25">
      <c r="A145" s="7" t="s">
        <v>48</v>
      </c>
      <c r="B145" s="26" t="s">
        <v>20</v>
      </c>
      <c r="C145" s="9">
        <v>2</v>
      </c>
      <c r="D145" s="10">
        <f>IFERROR(VLOOKUP(B145, FINANCIERO!A:D, 4, FALSE), "")</f>
        <v>24.625</v>
      </c>
      <c r="E145" s="11">
        <f t="shared" si="13"/>
        <v>49.25</v>
      </c>
      <c r="F145" s="18"/>
      <c r="G145" s="13" t="str">
        <f t="shared" si="1"/>
        <v/>
      </c>
      <c r="H145" s="13"/>
      <c r="I145" s="14"/>
      <c r="J145" s="11"/>
    </row>
    <row r="146" spans="1:10" ht="22.5" customHeight="1" x14ac:dyDescent="0.25">
      <c r="A146" s="19"/>
      <c r="B146" s="27"/>
      <c r="C146" s="20"/>
      <c r="D146" s="21" t="str">
        <f>IFERROR(VLOOKUP(B146, FINANCIERO!A:D, 4, FALSE), "")</f>
        <v/>
      </c>
      <c r="E146" s="22">
        <f>SUM(E137:E145)</f>
        <v>2652.6031210629376</v>
      </c>
      <c r="F146" s="22">
        <v>10000</v>
      </c>
      <c r="G146" s="23">
        <f t="shared" si="1"/>
        <v>0.26526031210629375</v>
      </c>
      <c r="H146" s="23">
        <f>100%-G146</f>
        <v>0.73473968789370625</v>
      </c>
      <c r="I146" s="24">
        <f>(F146-E146)/E146*100</f>
        <v>276.98817137758817</v>
      </c>
      <c r="J146" s="25">
        <f>F146-E146</f>
        <v>7347.3968789370629</v>
      </c>
    </row>
    <row r="147" spans="1:10" ht="22.5" customHeight="1" x14ac:dyDescent="0.25">
      <c r="A147" s="7" t="s">
        <v>50</v>
      </c>
      <c r="B147" s="8" t="s">
        <v>11</v>
      </c>
      <c r="C147" s="9">
        <f>110*2</f>
        <v>220</v>
      </c>
      <c r="D147" s="10">
        <f>IFERROR(VLOOKUP(B147, FINANCIERO!A:D, 4, FALSE), "")</f>
        <v>12.925000000000001</v>
      </c>
      <c r="E147" s="11">
        <f t="shared" ref="E147:E160" si="14">C147*D147</f>
        <v>2843.5</v>
      </c>
      <c r="F147" s="18"/>
      <c r="G147" s="13" t="str">
        <f t="shared" si="1"/>
        <v/>
      </c>
      <c r="H147" s="13"/>
      <c r="I147" s="14"/>
      <c r="J147" s="11"/>
    </row>
    <row r="148" spans="1:10" ht="22.5" customHeight="1" x14ac:dyDescent="0.25">
      <c r="A148" s="7" t="s">
        <v>50</v>
      </c>
      <c r="B148" s="8" t="s">
        <v>51</v>
      </c>
      <c r="C148" s="9">
        <v>20</v>
      </c>
      <c r="D148" s="10">
        <f>IFERROR(VLOOKUP(B148, FINANCIERO!A:D, 4, FALSE), "")</f>
        <v>12</v>
      </c>
      <c r="E148" s="11">
        <f t="shared" si="14"/>
        <v>240</v>
      </c>
      <c r="F148" s="18"/>
      <c r="G148" s="13" t="str">
        <f t="shared" si="1"/>
        <v/>
      </c>
      <c r="H148" s="13"/>
      <c r="I148" s="14"/>
      <c r="J148" s="11"/>
    </row>
    <row r="149" spans="1:10" ht="22.5" customHeight="1" x14ac:dyDescent="0.25">
      <c r="A149" s="7" t="s">
        <v>50</v>
      </c>
      <c r="B149" s="8" t="s">
        <v>13</v>
      </c>
      <c r="C149" s="9">
        <v>1</v>
      </c>
      <c r="D149" s="10">
        <f>IFERROR(VLOOKUP(B149, FINANCIERO!A:D, 4, FALSE), "")</f>
        <v>648</v>
      </c>
      <c r="E149" s="11">
        <f t="shared" si="14"/>
        <v>648</v>
      </c>
      <c r="F149" s="18"/>
      <c r="G149" s="13" t="str">
        <f t="shared" si="1"/>
        <v/>
      </c>
      <c r="H149" s="13"/>
      <c r="I149" s="14"/>
      <c r="J149" s="11"/>
    </row>
    <row r="150" spans="1:10" ht="22.5" customHeight="1" x14ac:dyDescent="0.25">
      <c r="A150" s="7" t="s">
        <v>50</v>
      </c>
      <c r="B150" s="8" t="s">
        <v>12</v>
      </c>
      <c r="C150" s="9">
        <v>3</v>
      </c>
      <c r="D150" s="10">
        <f>IFERROR(VLOOKUP(B150, FINANCIERO!A:D, 4, FALSE), "")</f>
        <v>225.53993055555554</v>
      </c>
      <c r="E150" s="11">
        <f t="shared" si="14"/>
        <v>676.61979166666663</v>
      </c>
      <c r="F150" s="18"/>
      <c r="G150" s="13" t="str">
        <f t="shared" si="1"/>
        <v/>
      </c>
      <c r="H150" s="13"/>
      <c r="I150" s="14"/>
      <c r="J150" s="11"/>
    </row>
    <row r="151" spans="1:10" ht="22.5" customHeight="1" x14ac:dyDescent="0.25">
      <c r="A151" s="7" t="s">
        <v>50</v>
      </c>
      <c r="B151" s="8" t="s">
        <v>37</v>
      </c>
      <c r="C151" s="9">
        <v>50</v>
      </c>
      <c r="D151" s="10">
        <f>IFERROR(VLOOKUP(B151, FINANCIERO!A:D, 4, FALSE), "")</f>
        <v>0.75</v>
      </c>
      <c r="E151" s="11">
        <f t="shared" si="14"/>
        <v>37.5</v>
      </c>
      <c r="F151" s="18"/>
      <c r="G151" s="13" t="str">
        <f t="shared" si="1"/>
        <v/>
      </c>
      <c r="H151" s="13"/>
      <c r="I151" s="14"/>
      <c r="J151" s="11"/>
    </row>
    <row r="152" spans="1:10" ht="22.5" customHeight="1" x14ac:dyDescent="0.25">
      <c r="A152" s="7" t="s">
        <v>50</v>
      </c>
      <c r="B152" s="8" t="s">
        <v>38</v>
      </c>
      <c r="C152" s="9">
        <v>50</v>
      </c>
      <c r="D152" s="10">
        <f>IFERROR(VLOOKUP(B152, FINANCIERO!A:D, 4, FALSE), "")</f>
        <v>5</v>
      </c>
      <c r="E152" s="11">
        <f t="shared" si="14"/>
        <v>250</v>
      </c>
      <c r="F152" s="18"/>
      <c r="G152" s="13" t="str">
        <f t="shared" si="1"/>
        <v/>
      </c>
      <c r="H152" s="13"/>
      <c r="I152" s="14"/>
      <c r="J152" s="11"/>
    </row>
    <row r="153" spans="1:10" ht="22.5" customHeight="1" x14ac:dyDescent="0.25">
      <c r="A153" s="7" t="s">
        <v>50</v>
      </c>
      <c r="B153" s="8" t="s">
        <v>39</v>
      </c>
      <c r="C153" s="9">
        <v>60</v>
      </c>
      <c r="D153" s="10">
        <f>IFERROR(VLOOKUP(B153, FINANCIERO!A:D, 4, FALSE), "")</f>
        <v>3.5</v>
      </c>
      <c r="E153" s="11">
        <f t="shared" si="14"/>
        <v>210</v>
      </c>
      <c r="F153" s="18"/>
      <c r="G153" s="13" t="str">
        <f t="shared" si="1"/>
        <v/>
      </c>
      <c r="H153" s="13"/>
      <c r="I153" s="14"/>
      <c r="J153" s="11"/>
    </row>
    <row r="154" spans="1:10" ht="22.5" customHeight="1" x14ac:dyDescent="0.25">
      <c r="A154" s="7" t="s">
        <v>50</v>
      </c>
      <c r="B154" s="8" t="s">
        <v>52</v>
      </c>
      <c r="C154" s="9">
        <v>5</v>
      </c>
      <c r="D154" s="10">
        <f>IFERROR(VLOOKUP(B154, FINANCIERO!A:D, 4, FALSE), "")</f>
        <v>10</v>
      </c>
      <c r="E154" s="11">
        <f t="shared" si="14"/>
        <v>50</v>
      </c>
      <c r="F154" s="18"/>
      <c r="G154" s="13" t="str">
        <f t="shared" si="1"/>
        <v/>
      </c>
      <c r="H154" s="13"/>
      <c r="I154" s="14"/>
      <c r="J154" s="11"/>
    </row>
    <row r="155" spans="1:10" ht="22.5" customHeight="1" x14ac:dyDescent="0.25">
      <c r="A155" s="7" t="s">
        <v>50</v>
      </c>
      <c r="B155" s="15" t="s">
        <v>15</v>
      </c>
      <c r="C155" s="9">
        <v>193</v>
      </c>
      <c r="D155" s="10">
        <f>IFERROR(VLOOKUP(B155, FINANCIERO!A:D, 4, FALSE), "")</f>
        <v>3.4688413333333337</v>
      </c>
      <c r="E155" s="11">
        <f t="shared" si="14"/>
        <v>669.48637733333339</v>
      </c>
      <c r="F155" s="18"/>
      <c r="G155" s="13" t="str">
        <f t="shared" si="1"/>
        <v/>
      </c>
      <c r="H155" s="13"/>
      <c r="I155" s="14"/>
      <c r="J155" s="11"/>
    </row>
    <row r="156" spans="1:10" ht="22.5" customHeight="1" x14ac:dyDescent="0.25">
      <c r="A156" s="7" t="s">
        <v>50</v>
      </c>
      <c r="B156" s="16" t="s">
        <v>16</v>
      </c>
      <c r="C156" s="9">
        <v>1</v>
      </c>
      <c r="D156" s="10">
        <f>IFERROR(VLOOKUP(B156, FINANCIERO!A:D, 4, FALSE), "")</f>
        <v>66.987179487179489</v>
      </c>
      <c r="E156" s="11">
        <f t="shared" si="14"/>
        <v>66.987179487179489</v>
      </c>
      <c r="F156" s="18"/>
      <c r="G156" s="13" t="str">
        <f t="shared" si="1"/>
        <v/>
      </c>
      <c r="H156" s="13"/>
      <c r="I156" s="14"/>
      <c r="J156" s="11"/>
    </row>
    <row r="157" spans="1:10" ht="22.5" customHeight="1" x14ac:dyDescent="0.25">
      <c r="A157" s="7" t="s">
        <v>50</v>
      </c>
      <c r="B157" s="16" t="s">
        <v>17</v>
      </c>
      <c r="C157" s="9">
        <v>1</v>
      </c>
      <c r="D157" s="10">
        <f>IFERROR(VLOOKUP(B157, FINANCIERO!A:D, 4, FALSE), "")</f>
        <v>35.909090909090907</v>
      </c>
      <c r="E157" s="11">
        <f t="shared" si="14"/>
        <v>35.909090909090907</v>
      </c>
      <c r="F157" s="18"/>
      <c r="G157" s="13" t="str">
        <f t="shared" si="1"/>
        <v/>
      </c>
      <c r="H157" s="13"/>
      <c r="I157" s="14"/>
      <c r="J157" s="11"/>
    </row>
    <row r="158" spans="1:10" ht="22.5" customHeight="1" x14ac:dyDescent="0.25">
      <c r="A158" s="7" t="s">
        <v>50</v>
      </c>
      <c r="B158" s="26" t="s">
        <v>18</v>
      </c>
      <c r="C158" s="9">
        <v>1</v>
      </c>
      <c r="D158" s="10">
        <f>IFERROR(VLOOKUP(B158, FINANCIERO!A:D, 4, FALSE), "")</f>
        <v>103.404</v>
      </c>
      <c r="E158" s="11">
        <f t="shared" si="14"/>
        <v>103.404</v>
      </c>
      <c r="F158" s="18"/>
      <c r="G158" s="13" t="str">
        <f t="shared" si="1"/>
        <v/>
      </c>
      <c r="H158" s="13"/>
      <c r="I158" s="14"/>
      <c r="J158" s="11"/>
    </row>
    <row r="159" spans="1:10" ht="22.5" customHeight="1" x14ac:dyDescent="0.25">
      <c r="A159" s="7" t="s">
        <v>50</v>
      </c>
      <c r="B159" s="26" t="s">
        <v>19</v>
      </c>
      <c r="C159" s="9">
        <v>1</v>
      </c>
      <c r="D159" s="10">
        <f>IFERROR(VLOOKUP(B159, FINANCIERO!A:D, 4, FALSE), "")</f>
        <v>5.37514</v>
      </c>
      <c r="E159" s="11">
        <f t="shared" si="14"/>
        <v>5.37514</v>
      </c>
      <c r="F159" s="18"/>
      <c r="G159" s="13" t="str">
        <f t="shared" si="1"/>
        <v/>
      </c>
      <c r="H159" s="13"/>
      <c r="I159" s="14"/>
      <c r="J159" s="11"/>
    </row>
    <row r="160" spans="1:10" ht="22.5" customHeight="1" x14ac:dyDescent="0.25">
      <c r="A160" s="7" t="s">
        <v>50</v>
      </c>
      <c r="B160" s="26" t="s">
        <v>20</v>
      </c>
      <c r="C160" s="9">
        <v>2</v>
      </c>
      <c r="D160" s="10">
        <f>IFERROR(VLOOKUP(B160, FINANCIERO!A:D, 4, FALSE), "")</f>
        <v>24.625</v>
      </c>
      <c r="E160" s="11">
        <f t="shared" si="14"/>
        <v>49.25</v>
      </c>
      <c r="F160" s="18"/>
      <c r="G160" s="13" t="str">
        <f t="shared" si="1"/>
        <v/>
      </c>
      <c r="H160" s="13"/>
      <c r="I160" s="14"/>
      <c r="J160" s="11"/>
    </row>
    <row r="161" spans="1:10" ht="22.5" customHeight="1" x14ac:dyDescent="0.25">
      <c r="A161" s="19"/>
      <c r="B161" s="27"/>
      <c r="C161" s="20"/>
      <c r="D161" s="21" t="str">
        <f>IFERROR(VLOOKUP(B161, FINANCIERO!A:D, 4, FALSE), "")</f>
        <v/>
      </c>
      <c r="E161" s="22">
        <f>SUM(E147:E160)</f>
        <v>5886.0315793962709</v>
      </c>
      <c r="F161" s="22">
        <v>13900</v>
      </c>
      <c r="G161" s="23">
        <f t="shared" si="1"/>
        <v>0.42345550930908421</v>
      </c>
      <c r="H161" s="23">
        <f>100%-G161</f>
        <v>0.57654449069091585</v>
      </c>
      <c r="I161" s="24">
        <f>(F161-E161)/E161*100</f>
        <v>136.15231777988049</v>
      </c>
      <c r="J161" s="25">
        <f>F161-E161</f>
        <v>8013.9684206037291</v>
      </c>
    </row>
    <row r="162" spans="1:10" ht="22.5" customHeight="1" x14ac:dyDescent="0.25">
      <c r="A162" s="7" t="s">
        <v>53</v>
      </c>
      <c r="B162" s="28" t="s">
        <v>54</v>
      </c>
      <c r="C162" s="9">
        <v>1</v>
      </c>
      <c r="D162" s="10">
        <f>IFERROR(VLOOKUP(B162, FINANCIERO!A:D, 4, FALSE), "")</f>
        <v>700</v>
      </c>
      <c r="E162" s="11">
        <f t="shared" ref="E162:E173" si="15">C162*D162</f>
        <v>700</v>
      </c>
      <c r="F162" s="18"/>
      <c r="G162" s="13" t="str">
        <f t="shared" si="1"/>
        <v/>
      </c>
      <c r="H162" s="13"/>
      <c r="I162" s="14"/>
      <c r="J162" s="11"/>
    </row>
    <row r="163" spans="1:10" ht="22.5" customHeight="1" x14ac:dyDescent="0.25">
      <c r="A163" s="7" t="s">
        <v>53</v>
      </c>
      <c r="B163" s="28" t="s">
        <v>44</v>
      </c>
      <c r="C163" s="9">
        <v>1</v>
      </c>
      <c r="D163" s="10">
        <f>IFERROR(VLOOKUP(B163, FINANCIERO!A:D, 4, FALSE), "")</f>
        <v>534</v>
      </c>
      <c r="E163" s="11">
        <f t="shared" si="15"/>
        <v>534</v>
      </c>
      <c r="F163" s="18"/>
      <c r="G163" s="13" t="str">
        <f t="shared" si="1"/>
        <v/>
      </c>
      <c r="H163" s="13"/>
      <c r="I163" s="14"/>
      <c r="J163" s="11"/>
    </row>
    <row r="164" spans="1:10" ht="22.5" customHeight="1" x14ac:dyDescent="0.25">
      <c r="A164" s="7" t="s">
        <v>53</v>
      </c>
      <c r="B164" s="28" t="s">
        <v>38</v>
      </c>
      <c r="C164" s="9">
        <v>50</v>
      </c>
      <c r="D164" s="10">
        <f>IFERROR(VLOOKUP(B164, FINANCIERO!A:D, 4, FALSE), "")</f>
        <v>5</v>
      </c>
      <c r="E164" s="11">
        <f t="shared" si="15"/>
        <v>250</v>
      </c>
      <c r="F164" s="18"/>
      <c r="G164" s="13" t="str">
        <f t="shared" si="1"/>
        <v/>
      </c>
      <c r="H164" s="13"/>
      <c r="I164" s="14"/>
      <c r="J164" s="11"/>
    </row>
    <row r="165" spans="1:10" ht="22.5" customHeight="1" x14ac:dyDescent="0.25">
      <c r="A165" s="7" t="s">
        <v>53</v>
      </c>
      <c r="B165" s="28" t="s">
        <v>39</v>
      </c>
      <c r="C165" s="9">
        <v>60</v>
      </c>
      <c r="D165" s="10">
        <f>IFERROR(VLOOKUP(B165, FINANCIERO!A:D, 4, FALSE), "")</f>
        <v>3.5</v>
      </c>
      <c r="E165" s="11">
        <f t="shared" si="15"/>
        <v>210</v>
      </c>
      <c r="F165" s="18"/>
      <c r="G165" s="13" t="str">
        <f t="shared" si="1"/>
        <v/>
      </c>
      <c r="H165" s="13"/>
      <c r="I165" s="14"/>
      <c r="J165" s="11"/>
    </row>
    <row r="166" spans="1:10" ht="22.5" customHeight="1" x14ac:dyDescent="0.25">
      <c r="A166" s="7" t="s">
        <v>53</v>
      </c>
      <c r="B166" s="28" t="s">
        <v>42</v>
      </c>
      <c r="C166" s="9">
        <v>30</v>
      </c>
      <c r="D166" s="10" t="str">
        <f>IFERROR(VLOOKUP(B166, FINANCIERO!A:D, 4, FALSE), "")</f>
        <v/>
      </c>
      <c r="E166" s="11" t="e">
        <f t="shared" si="15"/>
        <v>#VALUE!</v>
      </c>
      <c r="F166" s="18"/>
      <c r="G166" s="13" t="str">
        <f t="shared" si="1"/>
        <v/>
      </c>
      <c r="H166" s="13"/>
      <c r="I166" s="14"/>
      <c r="J166" s="11"/>
    </row>
    <row r="167" spans="1:10" ht="22.5" customHeight="1" x14ac:dyDescent="0.25">
      <c r="A167" s="7" t="s">
        <v>53</v>
      </c>
      <c r="B167" s="8" t="s">
        <v>52</v>
      </c>
      <c r="C167" s="9">
        <v>5</v>
      </c>
      <c r="D167" s="10">
        <f>IFERROR(VLOOKUP(B167, FINANCIERO!A:D, 4, FALSE), "")</f>
        <v>10</v>
      </c>
      <c r="E167" s="11">
        <f t="shared" si="15"/>
        <v>50</v>
      </c>
      <c r="F167" s="18"/>
      <c r="G167" s="13" t="str">
        <f t="shared" si="1"/>
        <v/>
      </c>
      <c r="H167" s="13"/>
      <c r="I167" s="14"/>
      <c r="J167" s="11"/>
    </row>
    <row r="168" spans="1:10" ht="22.5" customHeight="1" x14ac:dyDescent="0.25">
      <c r="A168" s="7" t="s">
        <v>53</v>
      </c>
      <c r="B168" s="15" t="s">
        <v>15</v>
      </c>
      <c r="C168" s="9">
        <v>193</v>
      </c>
      <c r="D168" s="10">
        <f>IFERROR(VLOOKUP(B168, FINANCIERO!A:D, 4, FALSE), "")</f>
        <v>3.4688413333333337</v>
      </c>
      <c r="E168" s="11">
        <f t="shared" si="15"/>
        <v>669.48637733333339</v>
      </c>
      <c r="F168" s="18"/>
      <c r="G168" s="13" t="str">
        <f t="shared" si="1"/>
        <v/>
      </c>
      <c r="H168" s="13"/>
      <c r="I168" s="14"/>
      <c r="J168" s="11"/>
    </row>
    <row r="169" spans="1:10" ht="22.5" customHeight="1" x14ac:dyDescent="0.25">
      <c r="A169" s="7" t="s">
        <v>53</v>
      </c>
      <c r="B169" s="16" t="s">
        <v>16</v>
      </c>
      <c r="C169" s="9">
        <v>1</v>
      </c>
      <c r="D169" s="10">
        <f>IFERROR(VLOOKUP(B169, FINANCIERO!A:D, 4, FALSE), "")</f>
        <v>66.987179487179489</v>
      </c>
      <c r="E169" s="11">
        <f t="shared" si="15"/>
        <v>66.987179487179489</v>
      </c>
      <c r="F169" s="18"/>
      <c r="G169" s="13" t="str">
        <f t="shared" si="1"/>
        <v/>
      </c>
      <c r="H169" s="13"/>
      <c r="I169" s="14"/>
      <c r="J169" s="11"/>
    </row>
    <row r="170" spans="1:10" ht="22.5" customHeight="1" x14ac:dyDescent="0.25">
      <c r="A170" s="7" t="s">
        <v>53</v>
      </c>
      <c r="B170" s="16" t="s">
        <v>17</v>
      </c>
      <c r="C170" s="9">
        <v>1</v>
      </c>
      <c r="D170" s="10">
        <f>IFERROR(VLOOKUP(B170, FINANCIERO!A:D, 4, FALSE), "")</f>
        <v>35.909090909090907</v>
      </c>
      <c r="E170" s="11">
        <f t="shared" si="15"/>
        <v>35.909090909090907</v>
      </c>
      <c r="F170" s="18"/>
      <c r="G170" s="13" t="str">
        <f t="shared" si="1"/>
        <v/>
      </c>
      <c r="H170" s="13"/>
      <c r="I170" s="14"/>
      <c r="J170" s="11"/>
    </row>
    <row r="171" spans="1:10" ht="22.5" customHeight="1" x14ac:dyDescent="0.25">
      <c r="A171" s="7" t="s">
        <v>53</v>
      </c>
      <c r="B171" s="26" t="s">
        <v>18</v>
      </c>
      <c r="C171" s="9">
        <v>1</v>
      </c>
      <c r="D171" s="10">
        <f>IFERROR(VLOOKUP(B171, FINANCIERO!A:D, 4, FALSE), "")</f>
        <v>103.404</v>
      </c>
      <c r="E171" s="11">
        <f t="shared" si="15"/>
        <v>103.404</v>
      </c>
      <c r="F171" s="18"/>
      <c r="G171" s="13" t="str">
        <f t="shared" si="1"/>
        <v/>
      </c>
      <c r="H171" s="13"/>
      <c r="I171" s="14"/>
      <c r="J171" s="11"/>
    </row>
    <row r="172" spans="1:10" ht="22.5" customHeight="1" x14ac:dyDescent="0.25">
      <c r="A172" s="7" t="s">
        <v>53</v>
      </c>
      <c r="B172" s="26" t="s">
        <v>19</v>
      </c>
      <c r="C172" s="9">
        <v>1</v>
      </c>
      <c r="D172" s="10">
        <f>IFERROR(VLOOKUP(B172, FINANCIERO!A:D, 4, FALSE), "")</f>
        <v>5.37514</v>
      </c>
      <c r="E172" s="11">
        <f t="shared" si="15"/>
        <v>5.37514</v>
      </c>
      <c r="F172" s="18"/>
      <c r="G172" s="13" t="str">
        <f t="shared" si="1"/>
        <v/>
      </c>
      <c r="H172" s="13"/>
      <c r="I172" s="14"/>
      <c r="J172" s="11"/>
    </row>
    <row r="173" spans="1:10" ht="22.5" customHeight="1" x14ac:dyDescent="0.25">
      <c r="A173" s="7" t="s">
        <v>53</v>
      </c>
      <c r="B173" s="26" t="s">
        <v>20</v>
      </c>
      <c r="C173" s="9">
        <v>2</v>
      </c>
      <c r="D173" s="10">
        <f>IFERROR(VLOOKUP(B173, FINANCIERO!A:D, 4, FALSE), "")</f>
        <v>24.625</v>
      </c>
      <c r="E173" s="11">
        <f t="shared" si="15"/>
        <v>49.25</v>
      </c>
      <c r="F173" s="18"/>
      <c r="G173" s="13" t="str">
        <f t="shared" si="1"/>
        <v/>
      </c>
      <c r="H173" s="13"/>
      <c r="I173" s="14"/>
      <c r="J173" s="11"/>
    </row>
    <row r="174" spans="1:10" ht="22.5" customHeight="1" x14ac:dyDescent="0.25">
      <c r="A174" s="19"/>
      <c r="B174" s="27"/>
      <c r="C174" s="20"/>
      <c r="D174" s="21" t="str">
        <f>IFERROR(VLOOKUP(B174, FINANCIERO!A:D, 4, FALSE), "")</f>
        <v/>
      </c>
      <c r="E174" s="22" t="e">
        <f>SUM(E162:E173)</f>
        <v>#VALUE!</v>
      </c>
      <c r="F174" s="22">
        <v>10000</v>
      </c>
      <c r="G174" s="23" t="e">
        <f t="shared" si="1"/>
        <v>#VALUE!</v>
      </c>
      <c r="H174" s="23" t="e">
        <f>100%-G174</f>
        <v>#VALUE!</v>
      </c>
      <c r="I174" s="24" t="e">
        <f>(F174-E174)/E174*100</f>
        <v>#VALUE!</v>
      </c>
      <c r="J174" s="25" t="e">
        <f>F174-E174</f>
        <v>#VALUE!</v>
      </c>
    </row>
    <row r="175" spans="1:10" ht="22.5" customHeight="1" x14ac:dyDescent="0.25">
      <c r="A175" s="7" t="s">
        <v>55</v>
      </c>
      <c r="B175" s="8" t="s">
        <v>11</v>
      </c>
      <c r="C175" s="9">
        <f>110*2</f>
        <v>220</v>
      </c>
      <c r="D175" s="10">
        <f>IFERROR(VLOOKUP(B175, FINANCIERO!A:D, 4, FALSE), "")</f>
        <v>12.925000000000001</v>
      </c>
      <c r="E175" s="11">
        <f t="shared" ref="E175:E186" si="16">C175*D175</f>
        <v>2843.5</v>
      </c>
      <c r="F175" s="18"/>
      <c r="G175" s="13"/>
      <c r="H175" s="13"/>
      <c r="I175" s="14"/>
      <c r="J175" s="11"/>
    </row>
    <row r="176" spans="1:10" ht="22.5" customHeight="1" x14ac:dyDescent="0.25">
      <c r="A176" s="7" t="s">
        <v>55</v>
      </c>
      <c r="B176" s="8" t="s">
        <v>12</v>
      </c>
      <c r="C176" s="9">
        <v>3</v>
      </c>
      <c r="D176" s="10">
        <f>IFERROR(VLOOKUP(B176, FINANCIERO!A:D, 4, FALSE), "")</f>
        <v>225.53993055555554</v>
      </c>
      <c r="E176" s="11">
        <f t="shared" si="16"/>
        <v>676.61979166666663</v>
      </c>
      <c r="F176" s="11"/>
      <c r="G176" s="29"/>
      <c r="H176" s="29"/>
      <c r="I176" s="30"/>
      <c r="J176" s="11"/>
    </row>
    <row r="177" spans="1:10" ht="22.5" customHeight="1" x14ac:dyDescent="0.25">
      <c r="A177" s="7" t="s">
        <v>55</v>
      </c>
      <c r="B177" s="8" t="s">
        <v>42</v>
      </c>
      <c r="C177" s="9">
        <v>30</v>
      </c>
      <c r="D177" s="10" t="str">
        <f>IFERROR(VLOOKUP(B177, FINANCIERO!A:D, 4, FALSE), "")</f>
        <v/>
      </c>
      <c r="E177" s="11" t="e">
        <f t="shared" si="16"/>
        <v>#VALUE!</v>
      </c>
      <c r="F177" s="11"/>
      <c r="G177" s="29"/>
      <c r="H177" s="29"/>
      <c r="I177" s="30"/>
      <c r="J177" s="11"/>
    </row>
    <row r="178" spans="1:10" ht="22.5" customHeight="1" x14ac:dyDescent="0.25">
      <c r="A178" s="7" t="s">
        <v>55</v>
      </c>
      <c r="B178" s="8" t="s">
        <v>13</v>
      </c>
      <c r="C178" s="9">
        <v>1</v>
      </c>
      <c r="D178" s="10">
        <f>IFERROR(VLOOKUP(B178, FINANCIERO!A:D, 4, FALSE), "")</f>
        <v>648</v>
      </c>
      <c r="E178" s="11">
        <f t="shared" si="16"/>
        <v>648</v>
      </c>
      <c r="F178" s="11"/>
      <c r="G178" s="29"/>
      <c r="H178" s="29"/>
      <c r="I178" s="30"/>
      <c r="J178" s="11"/>
    </row>
    <row r="179" spans="1:10" ht="22.5" customHeight="1" x14ac:dyDescent="0.25">
      <c r="A179" s="7" t="s">
        <v>55</v>
      </c>
      <c r="B179" s="8" t="s">
        <v>56</v>
      </c>
      <c r="C179" s="9">
        <v>40</v>
      </c>
      <c r="D179" s="10">
        <f>IFERROR(VLOOKUP(B179, FINANCIERO!A:D, 4, FALSE), "")</f>
        <v>5</v>
      </c>
      <c r="E179" s="11">
        <f t="shared" si="16"/>
        <v>200</v>
      </c>
      <c r="F179" s="11"/>
      <c r="G179" s="29"/>
      <c r="H179" s="29"/>
      <c r="I179" s="30"/>
      <c r="J179" s="11"/>
    </row>
    <row r="180" spans="1:10" ht="22.5" customHeight="1" x14ac:dyDescent="0.25">
      <c r="A180" s="7" t="s">
        <v>55</v>
      </c>
      <c r="B180" s="8" t="s">
        <v>57</v>
      </c>
      <c r="C180" s="9">
        <v>10</v>
      </c>
      <c r="D180" s="10" t="str">
        <f>IFERROR(VLOOKUP(B180, FINANCIERO!A:D, 4, FALSE), "")</f>
        <v/>
      </c>
      <c r="E180" s="11" t="e">
        <f t="shared" si="16"/>
        <v>#VALUE!</v>
      </c>
      <c r="F180" s="11"/>
      <c r="G180" s="29"/>
      <c r="H180" s="29"/>
      <c r="I180" s="30"/>
      <c r="J180" s="11"/>
    </row>
    <row r="181" spans="1:10" ht="22.5" customHeight="1" x14ac:dyDescent="0.25">
      <c r="A181" s="7" t="s">
        <v>55</v>
      </c>
      <c r="B181" s="15" t="s">
        <v>15</v>
      </c>
      <c r="C181" s="9">
        <v>193</v>
      </c>
      <c r="D181" s="10">
        <f>IFERROR(VLOOKUP(B181, FINANCIERO!A:D, 4, FALSE), "")</f>
        <v>3.4688413333333337</v>
      </c>
      <c r="E181" s="11">
        <f t="shared" si="16"/>
        <v>669.48637733333339</v>
      </c>
      <c r="F181" s="11"/>
      <c r="G181" s="29"/>
      <c r="H181" s="29"/>
      <c r="I181" s="30"/>
      <c r="J181" s="11"/>
    </row>
    <row r="182" spans="1:10" ht="22.5" customHeight="1" x14ac:dyDescent="0.25">
      <c r="A182" s="7" t="s">
        <v>55</v>
      </c>
      <c r="B182" s="16" t="s">
        <v>16</v>
      </c>
      <c r="C182" s="9">
        <v>1</v>
      </c>
      <c r="D182" s="10">
        <f>IFERROR(VLOOKUP(B182, FINANCIERO!A:D, 4, FALSE), "")</f>
        <v>66.987179487179489</v>
      </c>
      <c r="E182" s="11">
        <f t="shared" si="16"/>
        <v>66.987179487179489</v>
      </c>
      <c r="F182" s="11"/>
      <c r="G182" s="29"/>
      <c r="H182" s="29"/>
      <c r="I182" s="30"/>
      <c r="J182" s="11"/>
    </row>
    <row r="183" spans="1:10" ht="22.5" customHeight="1" x14ac:dyDescent="0.25">
      <c r="A183" s="7" t="s">
        <v>55</v>
      </c>
      <c r="B183" s="16" t="s">
        <v>17</v>
      </c>
      <c r="C183" s="9">
        <v>1</v>
      </c>
      <c r="D183" s="10">
        <f>IFERROR(VLOOKUP(B183, FINANCIERO!A:D, 4, FALSE), "")</f>
        <v>35.909090909090907</v>
      </c>
      <c r="E183" s="11">
        <f t="shared" si="16"/>
        <v>35.909090909090907</v>
      </c>
      <c r="F183" s="11"/>
      <c r="G183" s="29"/>
      <c r="H183" s="29"/>
      <c r="I183" s="30"/>
      <c r="J183" s="11"/>
    </row>
    <row r="184" spans="1:10" ht="22.5" customHeight="1" x14ac:dyDescent="0.25">
      <c r="A184" s="7" t="s">
        <v>55</v>
      </c>
      <c r="B184" s="26" t="s">
        <v>18</v>
      </c>
      <c r="C184" s="9">
        <v>1</v>
      </c>
      <c r="D184" s="10">
        <f>IFERROR(VLOOKUP(B184, FINANCIERO!A:D, 4, FALSE), "")</f>
        <v>103.404</v>
      </c>
      <c r="E184" s="11">
        <f t="shared" si="16"/>
        <v>103.404</v>
      </c>
      <c r="F184" s="11"/>
      <c r="G184" s="29"/>
      <c r="H184" s="29"/>
      <c r="I184" s="30"/>
      <c r="J184" s="11"/>
    </row>
    <row r="185" spans="1:10" ht="22.5" customHeight="1" x14ac:dyDescent="0.25">
      <c r="A185" s="7" t="s">
        <v>55</v>
      </c>
      <c r="B185" s="26" t="s">
        <v>19</v>
      </c>
      <c r="C185" s="9">
        <v>1</v>
      </c>
      <c r="D185" s="10">
        <f>IFERROR(VLOOKUP(B185, FINANCIERO!A:D, 4, FALSE), "")</f>
        <v>5.37514</v>
      </c>
      <c r="E185" s="11">
        <f t="shared" si="16"/>
        <v>5.37514</v>
      </c>
      <c r="F185" s="11"/>
      <c r="G185" s="29"/>
      <c r="H185" s="29"/>
      <c r="I185" s="30"/>
      <c r="J185" s="11"/>
    </row>
    <row r="186" spans="1:10" ht="22.5" customHeight="1" x14ac:dyDescent="0.25">
      <c r="A186" s="7" t="s">
        <v>55</v>
      </c>
      <c r="B186" s="26" t="s">
        <v>20</v>
      </c>
      <c r="C186" s="9">
        <v>2</v>
      </c>
      <c r="D186" s="10">
        <f>IFERROR(VLOOKUP(B186, FINANCIERO!A:D, 4, FALSE), "")</f>
        <v>24.625</v>
      </c>
      <c r="E186" s="11">
        <f t="shared" si="16"/>
        <v>49.25</v>
      </c>
      <c r="F186" s="11"/>
      <c r="G186" s="29"/>
      <c r="H186" s="29"/>
      <c r="I186" s="30"/>
      <c r="J186" s="11"/>
    </row>
    <row r="187" spans="1:10" ht="22.5" customHeight="1" x14ac:dyDescent="0.25">
      <c r="A187" s="19"/>
      <c r="B187" s="27"/>
      <c r="C187" s="20"/>
      <c r="D187" s="21" t="str">
        <f>IFERROR(VLOOKUP(B187, FINANCIERO!A:D, 4, FALSE), "")</f>
        <v/>
      </c>
      <c r="E187" s="22" t="e">
        <f>SUM(E175:E186)</f>
        <v>#VALUE!</v>
      </c>
      <c r="F187" s="22">
        <v>13900</v>
      </c>
      <c r="G187" s="23" t="e">
        <f>IF(F187=0, "", E187 / F187)</f>
        <v>#VALUE!</v>
      </c>
      <c r="H187" s="23" t="e">
        <f>100%-G187</f>
        <v>#VALUE!</v>
      </c>
      <c r="I187" s="24" t="e">
        <f>(F187-E187)/E187*100</f>
        <v>#VALUE!</v>
      </c>
      <c r="J187" s="25" t="e">
        <f>F187-E187</f>
        <v>#VALUE!</v>
      </c>
    </row>
    <row r="188" spans="1:10" ht="22.5" customHeight="1" x14ac:dyDescent="0.25">
      <c r="A188" s="7" t="s">
        <v>58</v>
      </c>
      <c r="B188" s="8" t="s">
        <v>11</v>
      </c>
      <c r="C188" s="9">
        <f>110*2</f>
        <v>220</v>
      </c>
      <c r="D188" s="10">
        <f>IFERROR(VLOOKUP(B188, FINANCIERO!A:D, 4, FALSE), "")</f>
        <v>12.925000000000001</v>
      </c>
      <c r="E188" s="11">
        <f t="shared" ref="E188:E199" si="17">C188*D188</f>
        <v>2843.5</v>
      </c>
      <c r="F188" s="18"/>
      <c r="G188" s="13"/>
      <c r="H188" s="13"/>
      <c r="I188" s="14"/>
      <c r="J188" s="11"/>
    </row>
    <row r="189" spans="1:10" ht="22.5" customHeight="1" x14ac:dyDescent="0.25">
      <c r="A189" s="7" t="s">
        <v>58</v>
      </c>
      <c r="B189" s="8" t="s">
        <v>12</v>
      </c>
      <c r="C189" s="9">
        <v>3</v>
      </c>
      <c r="D189" s="10">
        <f>IFERROR(VLOOKUP(B189, FINANCIERO!A:D, 4, FALSE), "")</f>
        <v>225.53993055555554</v>
      </c>
      <c r="E189" s="11">
        <f t="shared" si="17"/>
        <v>676.61979166666663</v>
      </c>
      <c r="F189" s="11"/>
      <c r="G189" s="29"/>
      <c r="H189" s="29"/>
      <c r="I189" s="30"/>
      <c r="J189" s="11"/>
    </row>
    <row r="190" spans="1:10" ht="22.5" customHeight="1" x14ac:dyDescent="0.25">
      <c r="A190" s="7" t="s">
        <v>58</v>
      </c>
      <c r="B190" s="8" t="s">
        <v>14</v>
      </c>
      <c r="C190" s="9">
        <v>15</v>
      </c>
      <c r="D190" s="10">
        <f>IFERROR(VLOOKUP(B190, FINANCIERO!A:D, 4, FALSE), "")</f>
        <v>5.6332599999999999</v>
      </c>
      <c r="E190" s="11">
        <f t="shared" si="17"/>
        <v>84.498899999999992</v>
      </c>
      <c r="F190" s="11"/>
      <c r="G190" s="29"/>
      <c r="H190" s="29"/>
      <c r="I190" s="30"/>
      <c r="J190" s="11"/>
    </row>
    <row r="191" spans="1:10" ht="22.5" customHeight="1" x14ac:dyDescent="0.25">
      <c r="A191" s="7" t="s">
        <v>58</v>
      </c>
      <c r="B191" s="8" t="s">
        <v>59</v>
      </c>
      <c r="C191" s="9">
        <v>40</v>
      </c>
      <c r="D191" s="10" t="str">
        <f>IFERROR(VLOOKUP(B191, FINANCIERO!A:D, 4, FALSE), "")</f>
        <v/>
      </c>
      <c r="E191" s="11" t="e">
        <f t="shared" si="17"/>
        <v>#VALUE!</v>
      </c>
      <c r="F191" s="11"/>
      <c r="G191" s="29"/>
      <c r="H191" s="29"/>
      <c r="I191" s="30"/>
      <c r="J191" s="11"/>
    </row>
    <row r="192" spans="1:10" ht="22.5" customHeight="1" x14ac:dyDescent="0.25">
      <c r="A192" s="7" t="s">
        <v>58</v>
      </c>
      <c r="B192" s="8" t="s">
        <v>13</v>
      </c>
      <c r="C192" s="9">
        <v>1</v>
      </c>
      <c r="D192" s="10">
        <f>IFERROR(VLOOKUP(B192, FINANCIERO!A:D, 4, FALSE), "")</f>
        <v>648</v>
      </c>
      <c r="E192" s="11">
        <f t="shared" si="17"/>
        <v>648</v>
      </c>
      <c r="F192" s="11"/>
      <c r="G192" s="29"/>
      <c r="H192" s="29"/>
      <c r="I192" s="30"/>
      <c r="J192" s="11"/>
    </row>
    <row r="193" spans="1:10" ht="22.5" customHeight="1" x14ac:dyDescent="0.25">
      <c r="A193" s="7" t="s">
        <v>58</v>
      </c>
      <c r="B193" s="8" t="s">
        <v>52</v>
      </c>
      <c r="C193" s="9">
        <v>5</v>
      </c>
      <c r="D193" s="10">
        <f>IFERROR(VLOOKUP(B193, FINANCIERO!A:D, 4, FALSE), "")</f>
        <v>10</v>
      </c>
      <c r="E193" s="11">
        <f t="shared" si="17"/>
        <v>50</v>
      </c>
      <c r="F193" s="11"/>
      <c r="G193" s="29"/>
      <c r="H193" s="29"/>
      <c r="I193" s="30"/>
      <c r="J193" s="11"/>
    </row>
    <row r="194" spans="1:10" ht="22.5" customHeight="1" x14ac:dyDescent="0.25">
      <c r="A194" s="7" t="s">
        <v>58</v>
      </c>
      <c r="B194" s="15" t="s">
        <v>15</v>
      </c>
      <c r="C194" s="9">
        <v>193</v>
      </c>
      <c r="D194" s="10">
        <f>IFERROR(VLOOKUP(B194, FINANCIERO!A:D, 4, FALSE), "")</f>
        <v>3.4688413333333337</v>
      </c>
      <c r="E194" s="11">
        <f t="shared" si="17"/>
        <v>669.48637733333339</v>
      </c>
      <c r="F194" s="11"/>
      <c r="G194" s="29"/>
      <c r="H194" s="29"/>
      <c r="I194" s="30"/>
      <c r="J194" s="11"/>
    </row>
    <row r="195" spans="1:10" ht="22.5" customHeight="1" x14ac:dyDescent="0.25">
      <c r="A195" s="7" t="s">
        <v>58</v>
      </c>
      <c r="B195" s="16" t="s">
        <v>16</v>
      </c>
      <c r="C195" s="9">
        <v>1</v>
      </c>
      <c r="D195" s="10">
        <f>IFERROR(VLOOKUP(B195, FINANCIERO!A:D, 4, FALSE), "")</f>
        <v>66.987179487179489</v>
      </c>
      <c r="E195" s="11">
        <f t="shared" si="17"/>
        <v>66.987179487179489</v>
      </c>
      <c r="F195" s="11"/>
      <c r="G195" s="29"/>
      <c r="H195" s="29"/>
      <c r="I195" s="30"/>
      <c r="J195" s="11"/>
    </row>
    <row r="196" spans="1:10" ht="22.5" customHeight="1" x14ac:dyDescent="0.25">
      <c r="A196" s="7" t="s">
        <v>58</v>
      </c>
      <c r="B196" s="16" t="s">
        <v>17</v>
      </c>
      <c r="C196" s="9">
        <v>1</v>
      </c>
      <c r="D196" s="10">
        <f>IFERROR(VLOOKUP(B196, FINANCIERO!A:D, 4, FALSE), "")</f>
        <v>35.909090909090907</v>
      </c>
      <c r="E196" s="11">
        <f t="shared" si="17"/>
        <v>35.909090909090907</v>
      </c>
      <c r="F196" s="11"/>
      <c r="G196" s="29"/>
      <c r="H196" s="29"/>
      <c r="I196" s="30"/>
      <c r="J196" s="11"/>
    </row>
    <row r="197" spans="1:10" ht="22.5" customHeight="1" x14ac:dyDescent="0.25">
      <c r="A197" s="7" t="s">
        <v>58</v>
      </c>
      <c r="B197" s="26" t="s">
        <v>18</v>
      </c>
      <c r="C197" s="9">
        <v>1</v>
      </c>
      <c r="D197" s="10">
        <f>IFERROR(VLOOKUP(B197, FINANCIERO!A:D, 4, FALSE), "")</f>
        <v>103.404</v>
      </c>
      <c r="E197" s="11">
        <f t="shared" si="17"/>
        <v>103.404</v>
      </c>
      <c r="F197" s="11"/>
      <c r="G197" s="29"/>
      <c r="H197" s="29"/>
      <c r="I197" s="30"/>
      <c r="J197" s="11"/>
    </row>
    <row r="198" spans="1:10" ht="22.5" customHeight="1" x14ac:dyDescent="0.25">
      <c r="A198" s="7" t="s">
        <v>58</v>
      </c>
      <c r="B198" s="26" t="s">
        <v>19</v>
      </c>
      <c r="C198" s="9">
        <v>1</v>
      </c>
      <c r="D198" s="10">
        <f>IFERROR(VLOOKUP(B198, FINANCIERO!A:D, 4, FALSE), "")</f>
        <v>5.37514</v>
      </c>
      <c r="E198" s="11">
        <f t="shared" si="17"/>
        <v>5.37514</v>
      </c>
      <c r="F198" s="11"/>
      <c r="G198" s="29"/>
      <c r="H198" s="29"/>
      <c r="I198" s="30"/>
      <c r="J198" s="11"/>
    </row>
    <row r="199" spans="1:10" ht="22.5" customHeight="1" x14ac:dyDescent="0.25">
      <c r="A199" s="7" t="s">
        <v>58</v>
      </c>
      <c r="B199" s="26" t="s">
        <v>20</v>
      </c>
      <c r="C199" s="9">
        <v>2</v>
      </c>
      <c r="D199" s="10">
        <f>IFERROR(VLOOKUP(B199, FINANCIERO!A:D, 4, FALSE), "")</f>
        <v>24.625</v>
      </c>
      <c r="E199" s="11">
        <f t="shared" si="17"/>
        <v>49.25</v>
      </c>
      <c r="F199" s="11"/>
      <c r="G199" s="29"/>
      <c r="H199" s="29"/>
      <c r="I199" s="30"/>
      <c r="J199" s="11"/>
    </row>
    <row r="200" spans="1:10" ht="22.5" customHeight="1" x14ac:dyDescent="0.25">
      <c r="A200" s="19"/>
      <c r="B200" s="27"/>
      <c r="C200" s="20"/>
      <c r="D200" s="21" t="str">
        <f>IFERROR(VLOOKUP(B200, FINANCIERO!A:D, 4, FALSE), "")</f>
        <v/>
      </c>
      <c r="E200" s="22" t="e">
        <f>SUM(E188:E199)</f>
        <v>#VALUE!</v>
      </c>
      <c r="F200" s="22">
        <v>13900</v>
      </c>
      <c r="G200" s="23" t="e">
        <f>IF(F200=0, "", E200 / F200)</f>
        <v>#VALUE!</v>
      </c>
      <c r="H200" s="23" t="e">
        <f>100%-G200</f>
        <v>#VALUE!</v>
      </c>
      <c r="I200" s="24" t="e">
        <f>(F200-E200)/E200*100</f>
        <v>#VALUE!</v>
      </c>
      <c r="J200" s="25" t="e">
        <f>F200-E200</f>
        <v>#VALUE!</v>
      </c>
    </row>
    <row r="201" spans="1:10" ht="22.5" customHeight="1" x14ac:dyDescent="0.25">
      <c r="A201" s="7" t="s">
        <v>60</v>
      </c>
      <c r="B201" s="8" t="s">
        <v>11</v>
      </c>
      <c r="C201" s="9">
        <f>110*2</f>
        <v>220</v>
      </c>
      <c r="D201" s="10">
        <f>IFERROR(VLOOKUP(B201, FINANCIERO!A:D, 4, FALSE), "")</f>
        <v>12.925000000000001</v>
      </c>
      <c r="E201" s="11">
        <f t="shared" ref="E201:E211" si="18">C201*D201</f>
        <v>2843.5</v>
      </c>
      <c r="F201" s="18"/>
      <c r="G201" s="13"/>
      <c r="H201" s="13"/>
      <c r="I201" s="14"/>
      <c r="J201" s="11"/>
    </row>
    <row r="202" spans="1:10" ht="22.5" customHeight="1" x14ac:dyDescent="0.25">
      <c r="A202" s="7" t="s">
        <v>60</v>
      </c>
      <c r="B202" s="28" t="s">
        <v>23</v>
      </c>
      <c r="C202" s="9">
        <v>3</v>
      </c>
      <c r="D202" s="10">
        <f>IFERROR(VLOOKUP(B202, FINANCIERO!A:D, 4, FALSE), "")</f>
        <v>225.53993055555554</v>
      </c>
      <c r="E202" s="11">
        <f t="shared" si="18"/>
        <v>676.61979166666663</v>
      </c>
      <c r="F202" s="11"/>
      <c r="G202" s="29"/>
      <c r="H202" s="29"/>
      <c r="I202" s="30"/>
      <c r="J202" s="11"/>
    </row>
    <row r="203" spans="1:10" ht="22.5" customHeight="1" x14ac:dyDescent="0.25">
      <c r="A203" s="7" t="s">
        <v>60</v>
      </c>
      <c r="B203" s="8" t="s">
        <v>14</v>
      </c>
      <c r="C203" s="9">
        <v>15</v>
      </c>
      <c r="D203" s="10">
        <f>IFERROR(VLOOKUP(B203, FINANCIERO!A:D, 4, FALSE), "")</f>
        <v>5.6332599999999999</v>
      </c>
      <c r="E203" s="11">
        <f t="shared" si="18"/>
        <v>84.498899999999992</v>
      </c>
      <c r="F203" s="11"/>
      <c r="G203" s="29"/>
      <c r="H203" s="29"/>
      <c r="I203" s="30"/>
      <c r="J203" s="11"/>
    </row>
    <row r="204" spans="1:10" ht="22.5" customHeight="1" x14ac:dyDescent="0.25">
      <c r="A204" s="7" t="s">
        <v>60</v>
      </c>
      <c r="B204" s="8" t="s">
        <v>61</v>
      </c>
      <c r="C204" s="9">
        <v>1</v>
      </c>
      <c r="D204" s="10">
        <f>IFERROR(VLOOKUP(B204, FINANCIERO!A:D, 4, FALSE), "")</f>
        <v>226.66666666666666</v>
      </c>
      <c r="E204" s="11">
        <f t="shared" si="18"/>
        <v>226.66666666666666</v>
      </c>
      <c r="F204" s="11"/>
      <c r="G204" s="29"/>
      <c r="H204" s="29"/>
      <c r="I204" s="30"/>
      <c r="J204" s="11"/>
    </row>
    <row r="205" spans="1:10" ht="22.5" customHeight="1" x14ac:dyDescent="0.25">
      <c r="A205" s="7" t="s">
        <v>60</v>
      </c>
      <c r="B205" s="8" t="s">
        <v>13</v>
      </c>
      <c r="C205" s="9">
        <v>1</v>
      </c>
      <c r="D205" s="10">
        <f>IFERROR(VLOOKUP(B205, FINANCIERO!A:D, 4, FALSE), "")</f>
        <v>648</v>
      </c>
      <c r="E205" s="11">
        <f t="shared" si="18"/>
        <v>648</v>
      </c>
      <c r="F205" s="11"/>
      <c r="G205" s="29"/>
      <c r="H205" s="29"/>
      <c r="I205" s="30"/>
      <c r="J205" s="11"/>
    </row>
    <row r="206" spans="1:10" ht="22.5" customHeight="1" x14ac:dyDescent="0.25">
      <c r="A206" s="7" t="s">
        <v>60</v>
      </c>
      <c r="B206" s="15" t="s">
        <v>15</v>
      </c>
      <c r="C206" s="9">
        <v>193</v>
      </c>
      <c r="D206" s="10">
        <f>IFERROR(VLOOKUP(B206, FINANCIERO!A:D, 4, FALSE), "")</f>
        <v>3.4688413333333337</v>
      </c>
      <c r="E206" s="11">
        <f t="shared" si="18"/>
        <v>669.48637733333339</v>
      </c>
      <c r="F206" s="11"/>
      <c r="G206" s="29"/>
      <c r="H206" s="29"/>
      <c r="I206" s="30"/>
      <c r="J206" s="11"/>
    </row>
    <row r="207" spans="1:10" ht="22.5" customHeight="1" x14ac:dyDescent="0.25">
      <c r="A207" s="7" t="s">
        <v>60</v>
      </c>
      <c r="B207" s="16" t="s">
        <v>16</v>
      </c>
      <c r="C207" s="9">
        <v>1</v>
      </c>
      <c r="D207" s="10">
        <f>IFERROR(VLOOKUP(B207, FINANCIERO!A:D, 4, FALSE), "")</f>
        <v>66.987179487179489</v>
      </c>
      <c r="E207" s="11">
        <f t="shared" si="18"/>
        <v>66.987179487179489</v>
      </c>
      <c r="F207" s="11"/>
      <c r="G207" s="29"/>
      <c r="H207" s="29"/>
      <c r="I207" s="30"/>
      <c r="J207" s="11"/>
    </row>
    <row r="208" spans="1:10" ht="22.5" customHeight="1" x14ac:dyDescent="0.25">
      <c r="A208" s="7" t="s">
        <v>60</v>
      </c>
      <c r="B208" s="16" t="s">
        <v>17</v>
      </c>
      <c r="C208" s="9">
        <v>1</v>
      </c>
      <c r="D208" s="10">
        <f>IFERROR(VLOOKUP(B208, FINANCIERO!A:D, 4, FALSE), "")</f>
        <v>35.909090909090907</v>
      </c>
      <c r="E208" s="11">
        <f t="shared" si="18"/>
        <v>35.909090909090907</v>
      </c>
      <c r="F208" s="11"/>
      <c r="G208" s="29"/>
      <c r="H208" s="29"/>
      <c r="I208" s="30"/>
      <c r="J208" s="11"/>
    </row>
    <row r="209" spans="1:10" ht="22.5" customHeight="1" x14ac:dyDescent="0.25">
      <c r="A209" s="7" t="s">
        <v>60</v>
      </c>
      <c r="B209" s="26" t="s">
        <v>18</v>
      </c>
      <c r="C209" s="9">
        <v>1</v>
      </c>
      <c r="D209" s="10">
        <f>IFERROR(VLOOKUP(B209, FINANCIERO!A:D, 4, FALSE), "")</f>
        <v>103.404</v>
      </c>
      <c r="E209" s="11">
        <f t="shared" si="18"/>
        <v>103.404</v>
      </c>
      <c r="F209" s="11"/>
      <c r="G209" s="29"/>
      <c r="H209" s="29"/>
      <c r="I209" s="30"/>
      <c r="J209" s="11"/>
    </row>
    <row r="210" spans="1:10" ht="22.5" customHeight="1" x14ac:dyDescent="0.25">
      <c r="A210" s="7" t="s">
        <v>60</v>
      </c>
      <c r="B210" s="26" t="s">
        <v>19</v>
      </c>
      <c r="C210" s="9">
        <v>1</v>
      </c>
      <c r="D210" s="10">
        <f>IFERROR(VLOOKUP(B210, FINANCIERO!A:D, 4, FALSE), "")</f>
        <v>5.37514</v>
      </c>
      <c r="E210" s="11">
        <f t="shared" si="18"/>
        <v>5.37514</v>
      </c>
      <c r="F210" s="11"/>
      <c r="G210" s="29"/>
      <c r="H210" s="29"/>
      <c r="I210" s="30"/>
      <c r="J210" s="11"/>
    </row>
    <row r="211" spans="1:10" ht="22.5" customHeight="1" x14ac:dyDescent="0.25">
      <c r="A211" s="7" t="s">
        <v>60</v>
      </c>
      <c r="B211" s="26" t="s">
        <v>20</v>
      </c>
      <c r="C211" s="9">
        <v>2</v>
      </c>
      <c r="D211" s="10">
        <f>IFERROR(VLOOKUP(B211, FINANCIERO!A:D, 4, FALSE), "")</f>
        <v>24.625</v>
      </c>
      <c r="E211" s="11">
        <f t="shared" si="18"/>
        <v>49.25</v>
      </c>
      <c r="F211" s="11"/>
      <c r="G211" s="29"/>
      <c r="H211" s="29"/>
      <c r="I211" s="30"/>
      <c r="J211" s="11"/>
    </row>
    <row r="212" spans="1:10" ht="22.5" customHeight="1" x14ac:dyDescent="0.25">
      <c r="A212" s="19"/>
      <c r="B212" s="27"/>
      <c r="C212" s="20"/>
      <c r="D212" s="21" t="str">
        <f>IFERROR(VLOOKUP(B212, FINANCIERO!A:D, 4, FALSE), "")</f>
        <v/>
      </c>
      <c r="E212" s="22">
        <f>SUM(E201:E211)</f>
        <v>5409.6971460629375</v>
      </c>
      <c r="F212" s="22">
        <v>13900</v>
      </c>
      <c r="G212" s="23">
        <f t="shared" ref="G212:G224" si="19">IF(F212=0, "", E212 / F212)</f>
        <v>0.38918684504049911</v>
      </c>
      <c r="H212" s="23">
        <f>100%-G212</f>
        <v>0.61081315495950084</v>
      </c>
      <c r="I212" s="24">
        <f>(F212-E212)/E212*100</f>
        <v>156.94599207122204</v>
      </c>
      <c r="J212" s="25">
        <f>F212-E212</f>
        <v>8490.3028539370625</v>
      </c>
    </row>
    <row r="213" spans="1:10" ht="22.5" customHeight="1" x14ac:dyDescent="0.25">
      <c r="A213" s="7" t="s">
        <v>62</v>
      </c>
      <c r="B213" s="8" t="s">
        <v>11</v>
      </c>
      <c r="C213" s="9">
        <f>110*2</f>
        <v>220</v>
      </c>
      <c r="D213" s="10">
        <f>IFERROR(VLOOKUP(B213, FINANCIERO!A:D, 4, FALSE), "")</f>
        <v>12.925000000000001</v>
      </c>
      <c r="E213" s="11">
        <f t="shared" ref="E213:E223" si="20">C213*D213</f>
        <v>2843.5</v>
      </c>
      <c r="F213" s="18"/>
      <c r="G213" s="13" t="str">
        <f t="shared" si="19"/>
        <v/>
      </c>
      <c r="H213" s="13"/>
      <c r="I213" s="17"/>
      <c r="J213" s="18"/>
    </row>
    <row r="214" spans="1:10" ht="22.5" customHeight="1" x14ac:dyDescent="0.25">
      <c r="A214" s="7" t="s">
        <v>62</v>
      </c>
      <c r="B214" s="8" t="s">
        <v>12</v>
      </c>
      <c r="C214" s="9">
        <v>3</v>
      </c>
      <c r="D214" s="10">
        <f>IFERROR(VLOOKUP(B214, FINANCIERO!A:D, 4, FALSE), "")</f>
        <v>225.53993055555554</v>
      </c>
      <c r="E214" s="11">
        <f t="shared" si="20"/>
        <v>676.61979166666663</v>
      </c>
      <c r="F214" s="18"/>
      <c r="G214" s="13" t="str">
        <f t="shared" si="19"/>
        <v/>
      </c>
      <c r="H214" s="13"/>
      <c r="I214" s="17"/>
      <c r="J214" s="18"/>
    </row>
    <row r="215" spans="1:10" ht="22.5" customHeight="1" x14ac:dyDescent="0.25">
      <c r="A215" s="7" t="s">
        <v>62</v>
      </c>
      <c r="B215" s="8" t="s">
        <v>63</v>
      </c>
      <c r="C215" s="9">
        <v>25</v>
      </c>
      <c r="D215" s="10" t="str">
        <f>IFERROR(VLOOKUP(B215, FINANCIERO!A:D, 4, FALSE), "")</f>
        <v/>
      </c>
      <c r="E215" s="11" t="e">
        <f t="shared" si="20"/>
        <v>#VALUE!</v>
      </c>
      <c r="F215" s="18"/>
      <c r="G215" s="13" t="str">
        <f t="shared" si="19"/>
        <v/>
      </c>
      <c r="H215" s="13"/>
      <c r="I215" s="17"/>
      <c r="J215" s="18"/>
    </row>
    <row r="216" spans="1:10" ht="22.5" customHeight="1" x14ac:dyDescent="0.25">
      <c r="A216" s="7" t="s">
        <v>62</v>
      </c>
      <c r="B216" s="8" t="s">
        <v>13</v>
      </c>
      <c r="C216" s="9">
        <v>1</v>
      </c>
      <c r="D216" s="10">
        <f>IFERROR(VLOOKUP(B216, FINANCIERO!A:D, 4, FALSE), "")</f>
        <v>648</v>
      </c>
      <c r="E216" s="11">
        <f t="shared" si="20"/>
        <v>648</v>
      </c>
      <c r="F216" s="18"/>
      <c r="G216" s="13" t="str">
        <f t="shared" si="19"/>
        <v/>
      </c>
      <c r="H216" s="13"/>
      <c r="I216" s="17"/>
      <c r="J216" s="18"/>
    </row>
    <row r="217" spans="1:10" ht="22.5" customHeight="1" x14ac:dyDescent="0.25">
      <c r="A217" s="7" t="s">
        <v>62</v>
      </c>
      <c r="B217" s="28" t="s">
        <v>52</v>
      </c>
      <c r="C217" s="9">
        <v>5</v>
      </c>
      <c r="D217" s="10">
        <f>IFERROR(VLOOKUP(B217, FINANCIERO!A:D, 4, FALSE), "")</f>
        <v>10</v>
      </c>
      <c r="E217" s="11">
        <f t="shared" si="20"/>
        <v>50</v>
      </c>
      <c r="F217" s="18"/>
      <c r="G217" s="13" t="str">
        <f t="shared" si="19"/>
        <v/>
      </c>
      <c r="H217" s="13"/>
      <c r="I217" s="17"/>
      <c r="J217" s="18"/>
    </row>
    <row r="218" spans="1:10" ht="22.5" customHeight="1" x14ac:dyDescent="0.25">
      <c r="A218" s="7" t="s">
        <v>62</v>
      </c>
      <c r="B218" s="15" t="s">
        <v>15</v>
      </c>
      <c r="C218" s="9">
        <v>193</v>
      </c>
      <c r="D218" s="10">
        <f>IFERROR(VLOOKUP(B218, FINANCIERO!A:D, 4, FALSE), "")</f>
        <v>3.4688413333333337</v>
      </c>
      <c r="E218" s="11">
        <f t="shared" si="20"/>
        <v>669.48637733333339</v>
      </c>
      <c r="F218" s="18"/>
      <c r="G218" s="13" t="str">
        <f t="shared" si="19"/>
        <v/>
      </c>
      <c r="H218" s="13"/>
      <c r="I218" s="17"/>
      <c r="J218" s="18"/>
    </row>
    <row r="219" spans="1:10" ht="22.5" customHeight="1" x14ac:dyDescent="0.25">
      <c r="A219" s="7" t="s">
        <v>62</v>
      </c>
      <c r="B219" s="16" t="s">
        <v>16</v>
      </c>
      <c r="C219" s="9">
        <v>1</v>
      </c>
      <c r="D219" s="10">
        <f>IFERROR(VLOOKUP(B219, FINANCIERO!A:D, 4, FALSE), "")</f>
        <v>66.987179487179489</v>
      </c>
      <c r="E219" s="11">
        <f t="shared" si="20"/>
        <v>66.987179487179489</v>
      </c>
      <c r="F219" s="18"/>
      <c r="G219" s="13" t="str">
        <f t="shared" si="19"/>
        <v/>
      </c>
      <c r="H219" s="13"/>
      <c r="I219" s="17"/>
      <c r="J219" s="18"/>
    </row>
    <row r="220" spans="1:10" ht="22.5" customHeight="1" x14ac:dyDescent="0.25">
      <c r="A220" s="7" t="s">
        <v>62</v>
      </c>
      <c r="B220" s="16" t="s">
        <v>17</v>
      </c>
      <c r="C220" s="9">
        <v>1</v>
      </c>
      <c r="D220" s="10">
        <f>IFERROR(VLOOKUP(B220, FINANCIERO!A:D, 4, FALSE), "")</f>
        <v>35.909090909090907</v>
      </c>
      <c r="E220" s="11">
        <f t="shared" si="20"/>
        <v>35.909090909090907</v>
      </c>
      <c r="F220" s="18"/>
      <c r="G220" s="13" t="str">
        <f t="shared" si="19"/>
        <v/>
      </c>
      <c r="H220" s="13"/>
      <c r="I220" s="17"/>
      <c r="J220" s="18"/>
    </row>
    <row r="221" spans="1:10" ht="22.5" customHeight="1" x14ac:dyDescent="0.25">
      <c r="A221" s="7" t="s">
        <v>62</v>
      </c>
      <c r="B221" s="26" t="s">
        <v>18</v>
      </c>
      <c r="C221" s="9">
        <v>1</v>
      </c>
      <c r="D221" s="10">
        <f>IFERROR(VLOOKUP(B221, FINANCIERO!A:D, 4, FALSE), "")</f>
        <v>103.404</v>
      </c>
      <c r="E221" s="11">
        <f t="shared" si="20"/>
        <v>103.404</v>
      </c>
      <c r="F221" s="18"/>
      <c r="G221" s="13" t="str">
        <f t="shared" si="19"/>
        <v/>
      </c>
      <c r="H221" s="13"/>
      <c r="I221" s="17"/>
      <c r="J221" s="18"/>
    </row>
    <row r="222" spans="1:10" ht="22.5" customHeight="1" x14ac:dyDescent="0.25">
      <c r="A222" s="7" t="s">
        <v>62</v>
      </c>
      <c r="B222" s="26" t="s">
        <v>19</v>
      </c>
      <c r="C222" s="9">
        <v>1</v>
      </c>
      <c r="D222" s="10">
        <f>IFERROR(VLOOKUP(B222, FINANCIERO!A:D, 4, FALSE), "")</f>
        <v>5.37514</v>
      </c>
      <c r="E222" s="11">
        <f t="shared" si="20"/>
        <v>5.37514</v>
      </c>
      <c r="F222" s="18"/>
      <c r="G222" s="13" t="str">
        <f t="shared" si="19"/>
        <v/>
      </c>
      <c r="H222" s="13"/>
      <c r="I222" s="17"/>
      <c r="J222" s="18"/>
    </row>
    <row r="223" spans="1:10" ht="22.5" customHeight="1" x14ac:dyDescent="0.25">
      <c r="A223" s="7" t="s">
        <v>62</v>
      </c>
      <c r="B223" s="26" t="s">
        <v>20</v>
      </c>
      <c r="C223" s="9">
        <v>2</v>
      </c>
      <c r="D223" s="10">
        <f>IFERROR(VLOOKUP(B223, FINANCIERO!A:D, 4, FALSE), "")</f>
        <v>24.625</v>
      </c>
      <c r="E223" s="11">
        <f t="shared" si="20"/>
        <v>49.25</v>
      </c>
      <c r="F223" s="18"/>
      <c r="G223" s="13" t="str">
        <f t="shared" si="19"/>
        <v/>
      </c>
      <c r="H223" s="13"/>
      <c r="I223" s="17"/>
      <c r="J223" s="18"/>
    </row>
    <row r="224" spans="1:10" ht="22.5" customHeight="1" x14ac:dyDescent="0.25">
      <c r="A224" s="19"/>
      <c r="B224" s="27"/>
      <c r="C224" s="20"/>
      <c r="D224" s="21" t="str">
        <f>IFERROR(VLOOKUP(B224, FINANCIERO!A:D, 4, FALSE), "")</f>
        <v/>
      </c>
      <c r="E224" s="22" t="e">
        <f>SUM(E213:E223)</f>
        <v>#VALUE!</v>
      </c>
      <c r="F224" s="22">
        <v>13900</v>
      </c>
      <c r="G224" s="23" t="e">
        <f t="shared" si="19"/>
        <v>#VALUE!</v>
      </c>
      <c r="H224" s="23" t="e">
        <f>100%-G224</f>
        <v>#VALUE!</v>
      </c>
      <c r="I224" s="24" t="e">
        <f>(F224-E224)/E224*100</f>
        <v>#VALUE!</v>
      </c>
      <c r="J224" s="25" t="e">
        <f>F224-E224</f>
        <v>#VALUE!</v>
      </c>
    </row>
    <row r="225" spans="1:10" ht="22.5" customHeight="1" x14ac:dyDescent="0.25">
      <c r="A225" s="7" t="s">
        <v>64</v>
      </c>
      <c r="B225" s="15" t="s">
        <v>15</v>
      </c>
      <c r="C225" s="9">
        <v>500</v>
      </c>
      <c r="D225" s="10">
        <f>IFERROR(VLOOKUP(B225, FINANCIERO!A:D, 4, FALSE), "")</f>
        <v>3.4688413333333337</v>
      </c>
      <c r="E225" s="11">
        <f t="shared" ref="E225:E227" si="21">C225*D225</f>
        <v>1734.4206666666669</v>
      </c>
      <c r="F225" s="31"/>
      <c r="G225" s="13"/>
      <c r="H225" s="13"/>
      <c r="I225" s="17"/>
      <c r="J225" s="18"/>
    </row>
    <row r="226" spans="1:10" ht="22.5" customHeight="1" x14ac:dyDescent="0.25">
      <c r="A226" s="7" t="s">
        <v>64</v>
      </c>
      <c r="B226" s="16" t="s">
        <v>16</v>
      </c>
      <c r="C226" s="9">
        <v>1</v>
      </c>
      <c r="D226" s="10">
        <f>IFERROR(VLOOKUP(B226, FINANCIERO!A:D, 4, FALSE), "")</f>
        <v>66.987179487179489</v>
      </c>
      <c r="E226" s="11">
        <f t="shared" si="21"/>
        <v>66.987179487179489</v>
      </c>
      <c r="F226" s="31"/>
      <c r="G226" s="13"/>
      <c r="H226" s="13"/>
      <c r="I226" s="17"/>
      <c r="J226" s="18"/>
    </row>
    <row r="227" spans="1:10" ht="22.5" customHeight="1" x14ac:dyDescent="0.25">
      <c r="A227" s="7" t="s">
        <v>64</v>
      </c>
      <c r="B227" s="15" t="s">
        <v>65</v>
      </c>
      <c r="C227" s="9">
        <v>1</v>
      </c>
      <c r="D227" s="10">
        <f>IFERROR(VLOOKUP(B227, FINANCIERO!A:D, 4, FALSE), "")</f>
        <v>491.51249999999999</v>
      </c>
      <c r="E227" s="11">
        <f t="shared" si="21"/>
        <v>491.51249999999999</v>
      </c>
      <c r="F227" s="31"/>
      <c r="G227" s="13"/>
      <c r="H227" s="13"/>
      <c r="I227" s="17"/>
      <c r="J227" s="18"/>
    </row>
    <row r="228" spans="1:10" ht="22.5" customHeight="1" x14ac:dyDescent="0.25">
      <c r="A228" s="19"/>
      <c r="B228" s="27"/>
      <c r="C228" s="20"/>
      <c r="D228" s="21"/>
      <c r="E228" s="22">
        <f>SUM(E225:E227)</f>
        <v>2292.9203461538464</v>
      </c>
      <c r="F228" s="22">
        <v>7000</v>
      </c>
      <c r="G228" s="23">
        <f>IF(F228=0, "", E228 / F228)</f>
        <v>0.32756004945054951</v>
      </c>
      <c r="H228" s="23">
        <f>100%-G228</f>
        <v>0.67243995054945049</v>
      </c>
      <c r="I228" s="24">
        <f>(F228-E228)/E228*100</f>
        <v>205.28753481305304</v>
      </c>
      <c r="J228" s="25">
        <f>F228-E228</f>
        <v>4707.0796538461536</v>
      </c>
    </row>
    <row r="229" spans="1:10" ht="22.5" customHeight="1" x14ac:dyDescent="0.25">
      <c r="A229" s="7" t="s">
        <v>66</v>
      </c>
      <c r="B229" s="15" t="s">
        <v>15</v>
      </c>
      <c r="C229" s="9">
        <v>500</v>
      </c>
      <c r="D229" s="10">
        <f>IFERROR(VLOOKUP(B229, FINANCIERO!A:D, 4, FALSE), "")</f>
        <v>3.4688413333333337</v>
      </c>
      <c r="E229" s="11">
        <f t="shared" ref="E229:E232" si="22">C229*D229</f>
        <v>1734.4206666666669</v>
      </c>
      <c r="F229" s="31"/>
      <c r="G229" s="13"/>
      <c r="H229" s="13"/>
      <c r="I229" s="17"/>
      <c r="J229" s="18"/>
    </row>
    <row r="230" spans="1:10" ht="22.5" customHeight="1" x14ac:dyDescent="0.25">
      <c r="A230" s="7" t="s">
        <v>66</v>
      </c>
      <c r="B230" s="16" t="s">
        <v>16</v>
      </c>
      <c r="C230" s="9">
        <v>1</v>
      </c>
      <c r="D230" s="10">
        <f>IFERROR(VLOOKUP(B230, FINANCIERO!A:D, 4, FALSE), "")</f>
        <v>66.987179487179489</v>
      </c>
      <c r="E230" s="11">
        <f t="shared" si="22"/>
        <v>66.987179487179489</v>
      </c>
      <c r="F230" s="31"/>
      <c r="G230" s="13"/>
      <c r="H230" s="13"/>
      <c r="I230" s="17"/>
      <c r="J230" s="18"/>
    </row>
    <row r="231" spans="1:10" ht="22.5" customHeight="1" x14ac:dyDescent="0.25">
      <c r="A231" s="7" t="s">
        <v>66</v>
      </c>
      <c r="B231" s="15" t="s">
        <v>24</v>
      </c>
      <c r="C231" s="9">
        <v>90</v>
      </c>
      <c r="D231" s="10">
        <f>IFERROR(VLOOKUP(B231, FINANCIERO!A:D, 4, FALSE), "")</f>
        <v>7.2801428571428568</v>
      </c>
      <c r="E231" s="11">
        <f t="shared" si="22"/>
        <v>655.21285714285716</v>
      </c>
      <c r="F231" s="31"/>
      <c r="G231" s="13"/>
      <c r="H231" s="13"/>
      <c r="I231" s="17"/>
      <c r="J231" s="18"/>
    </row>
    <row r="232" spans="1:10" ht="22.5" customHeight="1" x14ac:dyDescent="0.25">
      <c r="A232" s="7" t="s">
        <v>66</v>
      </c>
      <c r="B232" s="15" t="s">
        <v>65</v>
      </c>
      <c r="C232" s="9">
        <v>1</v>
      </c>
      <c r="D232" s="10">
        <f>IFERROR(VLOOKUP(B232, FINANCIERO!A:D, 4, FALSE), "")</f>
        <v>491.51249999999999</v>
      </c>
      <c r="E232" s="11">
        <f t="shared" si="22"/>
        <v>491.51249999999999</v>
      </c>
      <c r="F232" s="31"/>
      <c r="G232" s="13"/>
      <c r="H232" s="13"/>
      <c r="I232" s="17"/>
      <c r="J232" s="18"/>
    </row>
    <row r="233" spans="1:10" ht="22.5" customHeight="1" x14ac:dyDescent="0.25">
      <c r="A233" s="19"/>
      <c r="B233" s="27"/>
      <c r="C233" s="20"/>
      <c r="D233" s="21"/>
      <c r="E233" s="22">
        <f>SUM(E229:E232)</f>
        <v>2948.1332032967034</v>
      </c>
      <c r="F233" s="22">
        <v>8000</v>
      </c>
      <c r="G233" s="23">
        <f>IF(F233=0, "", E233 / F233)</f>
        <v>0.36851665041208792</v>
      </c>
      <c r="H233" s="23">
        <f>100%-G233</f>
        <v>0.63148334958791208</v>
      </c>
      <c r="I233" s="24">
        <f>(F233-E233)/E233*100</f>
        <v>171.35815949747882</v>
      </c>
      <c r="J233" s="25">
        <f>F233-E233</f>
        <v>5051.8667967032961</v>
      </c>
    </row>
    <row r="234" spans="1:10" ht="22.5" customHeight="1" x14ac:dyDescent="0.25">
      <c r="A234" s="7" t="s">
        <v>67</v>
      </c>
      <c r="B234" s="15" t="s">
        <v>15</v>
      </c>
      <c r="C234" s="9">
        <v>500</v>
      </c>
      <c r="D234" s="10">
        <f>IFERROR(VLOOKUP(B234, FINANCIERO!A:D, 4, FALSE), "")</f>
        <v>3.4688413333333337</v>
      </c>
      <c r="E234" s="11">
        <f t="shared" ref="E234:E238" si="23">C234*D234</f>
        <v>1734.4206666666669</v>
      </c>
      <c r="F234" s="31"/>
      <c r="G234" s="13"/>
      <c r="H234" s="13"/>
      <c r="I234" s="17"/>
      <c r="J234" s="18"/>
    </row>
    <row r="235" spans="1:10" ht="22.5" customHeight="1" x14ac:dyDescent="0.25">
      <c r="A235" s="7" t="s">
        <v>67</v>
      </c>
      <c r="B235" s="16" t="s">
        <v>16</v>
      </c>
      <c r="C235" s="9">
        <v>1</v>
      </c>
      <c r="D235" s="10">
        <f>IFERROR(VLOOKUP(B235, FINANCIERO!A:D, 4, FALSE), "")</f>
        <v>66.987179487179489</v>
      </c>
      <c r="E235" s="11">
        <f t="shared" si="23"/>
        <v>66.987179487179489</v>
      </c>
      <c r="F235" s="12"/>
      <c r="G235" s="32"/>
      <c r="H235" s="29"/>
      <c r="I235" s="14"/>
      <c r="J235" s="11"/>
    </row>
    <row r="236" spans="1:10" ht="22.5" customHeight="1" x14ac:dyDescent="0.25">
      <c r="A236" s="7" t="s">
        <v>67</v>
      </c>
      <c r="B236" s="15" t="s">
        <v>24</v>
      </c>
      <c r="C236" s="9">
        <v>90</v>
      </c>
      <c r="D236" s="10">
        <f>IFERROR(VLOOKUP(B236, FINANCIERO!A:D, 4, FALSE), "")</f>
        <v>7.2801428571428568</v>
      </c>
      <c r="E236" s="11">
        <f t="shared" si="23"/>
        <v>655.21285714285716</v>
      </c>
      <c r="F236" s="12"/>
      <c r="G236" s="32"/>
      <c r="H236" s="29"/>
      <c r="I236" s="14"/>
      <c r="J236" s="11"/>
    </row>
    <row r="237" spans="1:10" ht="22.5" customHeight="1" x14ac:dyDescent="0.25">
      <c r="A237" s="7" t="s">
        <v>67</v>
      </c>
      <c r="B237" s="15" t="s">
        <v>14</v>
      </c>
      <c r="C237" s="9">
        <v>50</v>
      </c>
      <c r="D237" s="10">
        <f>IFERROR(VLOOKUP(B237, FINANCIERO!A:D, 4, FALSE), "")</f>
        <v>5.6332599999999999</v>
      </c>
      <c r="E237" s="11">
        <f t="shared" si="23"/>
        <v>281.66300000000001</v>
      </c>
      <c r="F237" s="12"/>
      <c r="G237" s="32"/>
      <c r="H237" s="29"/>
      <c r="I237" s="14"/>
      <c r="J237" s="11"/>
    </row>
    <row r="238" spans="1:10" ht="22.5" customHeight="1" x14ac:dyDescent="0.25">
      <c r="A238" s="7" t="s">
        <v>67</v>
      </c>
      <c r="B238" s="15" t="s">
        <v>65</v>
      </c>
      <c r="C238" s="9">
        <v>1</v>
      </c>
      <c r="D238" s="10">
        <f>IFERROR(VLOOKUP(B238, FINANCIERO!A:D, 4, FALSE), "")</f>
        <v>491.51249999999999</v>
      </c>
      <c r="E238" s="11">
        <f t="shared" si="23"/>
        <v>491.51249999999999</v>
      </c>
      <c r="F238" s="12"/>
      <c r="G238" s="32"/>
      <c r="H238" s="29"/>
      <c r="I238" s="14"/>
      <c r="J238" s="11"/>
    </row>
    <row r="239" spans="1:10" ht="22.5" customHeight="1" x14ac:dyDescent="0.25">
      <c r="A239" s="19"/>
      <c r="B239" s="27"/>
      <c r="C239" s="20"/>
      <c r="D239" s="21"/>
      <c r="E239" s="22">
        <f>SUM(E234:E238)</f>
        <v>3229.7962032967034</v>
      </c>
      <c r="F239" s="22">
        <v>9000</v>
      </c>
      <c r="G239" s="23">
        <f>IF(F239=0, "", E239 / F239)</f>
        <v>0.35886624481074481</v>
      </c>
      <c r="H239" s="23">
        <f>100%-G239</f>
        <v>0.64113375518925519</v>
      </c>
      <c r="I239" s="24">
        <f>(F239-E239)/E239*100</f>
        <v>178.65535264465169</v>
      </c>
      <c r="J239" s="25">
        <f>F239-E239</f>
        <v>5770.2037967032966</v>
      </c>
    </row>
    <row r="240" spans="1:10" ht="22.5" customHeight="1" x14ac:dyDescent="0.25">
      <c r="A240" s="7" t="s">
        <v>68</v>
      </c>
      <c r="B240" s="15" t="s">
        <v>34</v>
      </c>
      <c r="C240" s="9">
        <v>160</v>
      </c>
      <c r="D240" s="10">
        <f>IFERROR(VLOOKUP(B240, FINANCIERO!A:D, 4, FALSE), "")</f>
        <v>9.1812099999999983</v>
      </c>
      <c r="E240" s="11">
        <f t="shared" ref="E240:E242" si="24">C240*D240</f>
        <v>1468.9935999999998</v>
      </c>
      <c r="F240" s="12"/>
      <c r="G240" s="32"/>
      <c r="H240" s="29"/>
      <c r="I240" s="14"/>
      <c r="J240" s="11"/>
    </row>
    <row r="241" spans="1:10" ht="22.5" customHeight="1" x14ac:dyDescent="0.25">
      <c r="A241" s="7" t="s">
        <v>68</v>
      </c>
      <c r="B241" s="16" t="s">
        <v>16</v>
      </c>
      <c r="C241" s="9">
        <v>1</v>
      </c>
      <c r="D241" s="10">
        <f>IFERROR(VLOOKUP(B241, FINANCIERO!A:D, 4, FALSE), "")</f>
        <v>66.987179487179489</v>
      </c>
      <c r="E241" s="11">
        <f t="shared" si="24"/>
        <v>66.987179487179489</v>
      </c>
      <c r="F241" s="12"/>
      <c r="G241" s="32"/>
      <c r="H241" s="29"/>
      <c r="I241" s="14"/>
      <c r="J241" s="11"/>
    </row>
    <row r="242" spans="1:10" ht="22.5" customHeight="1" x14ac:dyDescent="0.25">
      <c r="A242" s="7" t="s">
        <v>68</v>
      </c>
      <c r="B242" s="15" t="s">
        <v>65</v>
      </c>
      <c r="C242" s="9">
        <v>1</v>
      </c>
      <c r="D242" s="10">
        <f>IFERROR(VLOOKUP(B242, FINANCIERO!A:D, 4, FALSE), "")</f>
        <v>491.51249999999999</v>
      </c>
      <c r="E242" s="11">
        <f t="shared" si="24"/>
        <v>491.51249999999999</v>
      </c>
      <c r="F242" s="12"/>
      <c r="G242" s="32"/>
      <c r="H242" s="29"/>
      <c r="I242" s="14"/>
      <c r="J242" s="11"/>
    </row>
    <row r="243" spans="1:10" ht="22.5" customHeight="1" x14ac:dyDescent="0.25">
      <c r="A243" s="33"/>
      <c r="B243" s="34"/>
      <c r="C243" s="35"/>
      <c r="D243" s="36"/>
      <c r="E243" s="22">
        <f>SUM(E240:E242)</f>
        <v>2027.4932794871793</v>
      </c>
      <c r="F243" s="22">
        <v>7000</v>
      </c>
      <c r="G243" s="23">
        <f>IF(F243=0, "", E243 / F243)</f>
        <v>0.28964189706959703</v>
      </c>
      <c r="H243" s="23">
        <f>100%-G243</f>
        <v>0.71035810293040291</v>
      </c>
      <c r="I243" s="24">
        <f>(F243-E243)/E243*100</f>
        <v>245.25391875876073</v>
      </c>
      <c r="J243" s="25">
        <f>F243-E243</f>
        <v>4972.5067205128207</v>
      </c>
    </row>
    <row r="244" spans="1:10" ht="22.5" customHeight="1" x14ac:dyDescent="0.25">
      <c r="A244" s="7" t="s">
        <v>69</v>
      </c>
      <c r="B244" s="15" t="s">
        <v>70</v>
      </c>
      <c r="C244" s="9">
        <f>20*6</f>
        <v>120</v>
      </c>
      <c r="D244" s="10">
        <f>IFERROR(VLOOKUP(B244, FINANCIERO!A:D, 4, FALSE), "")</f>
        <v>13.446116666666667</v>
      </c>
      <c r="E244" s="11">
        <f t="shared" ref="E244:E245" si="25">C244*D244</f>
        <v>1613.5340000000001</v>
      </c>
      <c r="F244" s="12"/>
      <c r="G244" s="32"/>
      <c r="H244" s="29"/>
      <c r="I244" s="14"/>
      <c r="J244" s="11"/>
    </row>
    <row r="245" spans="1:10" ht="22.5" customHeight="1" x14ac:dyDescent="0.25">
      <c r="A245" s="7" t="s">
        <v>69</v>
      </c>
      <c r="B245" s="16" t="s">
        <v>16</v>
      </c>
      <c r="C245" s="9">
        <v>1</v>
      </c>
      <c r="D245" s="10">
        <f>IFERROR(VLOOKUP(B245, FINANCIERO!A:D, 4, FALSE), "")</f>
        <v>66.987179487179489</v>
      </c>
      <c r="E245" s="11">
        <f t="shared" si="25"/>
        <v>66.987179487179489</v>
      </c>
      <c r="F245" s="12"/>
      <c r="G245" s="32"/>
      <c r="H245" s="29"/>
      <c r="I245" s="14"/>
      <c r="J245" s="11"/>
    </row>
    <row r="246" spans="1:10" ht="22.5" customHeight="1" x14ac:dyDescent="0.25">
      <c r="A246" s="33"/>
      <c r="B246" s="34"/>
      <c r="C246" s="35"/>
      <c r="D246" s="36"/>
      <c r="E246" s="22">
        <f>SUM(E244:E245)</f>
        <v>1680.5211794871796</v>
      </c>
      <c r="F246" s="22">
        <v>5000</v>
      </c>
      <c r="G246" s="23">
        <f>IF(F246=0, "", E246 / F246)</f>
        <v>0.33610423589743593</v>
      </c>
      <c r="H246" s="23">
        <f>100%-G246</f>
        <v>0.66389576410256401</v>
      </c>
      <c r="I246" s="24">
        <f>(F246-E246)/E246*100</f>
        <v>197.52674712054377</v>
      </c>
      <c r="J246" s="25">
        <f>F246-E246</f>
        <v>3319.4788205128207</v>
      </c>
    </row>
    <row r="247" spans="1:10" ht="22.5" customHeight="1" x14ac:dyDescent="0.25">
      <c r="A247" s="7" t="s">
        <v>71</v>
      </c>
      <c r="B247" s="15" t="s">
        <v>70</v>
      </c>
      <c r="C247" s="9">
        <f>20*10</f>
        <v>200</v>
      </c>
      <c r="D247" s="10">
        <f>IFERROR(VLOOKUP(B247, FINANCIERO!A:D, 4, FALSE), "")</f>
        <v>13.446116666666667</v>
      </c>
      <c r="E247" s="11">
        <f t="shared" ref="E247:E248" si="26">C247*D247</f>
        <v>2689.2233333333334</v>
      </c>
      <c r="F247" s="12"/>
      <c r="G247" s="32"/>
      <c r="H247" s="29"/>
      <c r="I247" s="14"/>
      <c r="J247" s="11"/>
    </row>
    <row r="248" spans="1:10" ht="22.5" customHeight="1" x14ac:dyDescent="0.25">
      <c r="A248" s="37" t="s">
        <v>71</v>
      </c>
      <c r="B248" s="16" t="s">
        <v>16</v>
      </c>
      <c r="C248" s="9">
        <v>1</v>
      </c>
      <c r="D248" s="10">
        <f>IFERROR(VLOOKUP(B248, FINANCIERO!A:D, 4, FALSE), "")</f>
        <v>66.987179487179489</v>
      </c>
      <c r="E248" s="11">
        <f t="shared" si="26"/>
        <v>66.987179487179489</v>
      </c>
      <c r="F248" s="12"/>
      <c r="G248" s="32"/>
      <c r="H248" s="29"/>
      <c r="I248" s="14"/>
      <c r="J248" s="11"/>
    </row>
    <row r="249" spans="1:10" ht="22.5" customHeight="1" x14ac:dyDescent="0.25">
      <c r="A249" s="38"/>
      <c r="B249" s="39"/>
      <c r="C249" s="35"/>
      <c r="D249" s="36"/>
      <c r="E249" s="22">
        <f>SUM(E247:E248)</f>
        <v>2756.210512820513</v>
      </c>
      <c r="F249" s="22">
        <v>8000</v>
      </c>
      <c r="G249" s="23">
        <f>IF(F249=0, "", E249 / F249)</f>
        <v>0.34452631410256412</v>
      </c>
      <c r="H249" s="23">
        <f>100%-G249</f>
        <v>0.65547368589743593</v>
      </c>
      <c r="I249" s="24">
        <f>(F249-E249)/E249*100</f>
        <v>190.25359139978605</v>
      </c>
      <c r="J249" s="25">
        <f>F249-E249</f>
        <v>5243.789487179487</v>
      </c>
    </row>
    <row r="250" spans="1:10" ht="22.5" customHeight="1" x14ac:dyDescent="0.25">
      <c r="A250" s="40" t="s">
        <v>72</v>
      </c>
      <c r="B250" s="41" t="s">
        <v>11</v>
      </c>
      <c r="C250" s="9">
        <v>80</v>
      </c>
      <c r="D250" s="10">
        <f>IFERROR(VLOOKUP(B250, FINANCIERO!A:D, 4, FALSE), "")</f>
        <v>12.925000000000001</v>
      </c>
      <c r="E250" s="11">
        <f t="shared" ref="E250:E253" si="27">C250*D250</f>
        <v>1034</v>
      </c>
      <c r="F250" s="12"/>
      <c r="G250" s="32"/>
      <c r="H250" s="29"/>
      <c r="I250" s="14"/>
      <c r="J250" s="11"/>
    </row>
    <row r="251" spans="1:10" ht="22.5" customHeight="1" x14ac:dyDescent="0.25">
      <c r="A251" s="40" t="s">
        <v>72</v>
      </c>
      <c r="B251" s="42" t="s">
        <v>23</v>
      </c>
      <c r="C251" s="9">
        <v>2</v>
      </c>
      <c r="D251" s="10">
        <f>IFERROR(VLOOKUP(B251, FINANCIERO!A:D, 4, FALSE), "")</f>
        <v>225.53993055555554</v>
      </c>
      <c r="E251" s="11">
        <f t="shared" si="27"/>
        <v>451.07986111111109</v>
      </c>
      <c r="F251" s="12"/>
      <c r="G251" s="32"/>
      <c r="H251" s="29"/>
      <c r="I251" s="14"/>
      <c r="J251" s="11"/>
    </row>
    <row r="252" spans="1:10" ht="22.5" customHeight="1" x14ac:dyDescent="0.25">
      <c r="A252" s="40" t="s">
        <v>72</v>
      </c>
      <c r="B252" s="43" t="s">
        <v>44</v>
      </c>
      <c r="C252" s="9">
        <v>1</v>
      </c>
      <c r="D252" s="10">
        <f>IFERROR(VLOOKUP(B252, FINANCIERO!A:D, 4, FALSE), "")</f>
        <v>534</v>
      </c>
      <c r="E252" s="11">
        <f t="shared" si="27"/>
        <v>534</v>
      </c>
      <c r="F252" s="12"/>
      <c r="G252" s="32"/>
      <c r="H252" s="29"/>
      <c r="I252" s="14"/>
      <c r="J252" s="11"/>
    </row>
    <row r="253" spans="1:10" ht="22.5" customHeight="1" x14ac:dyDescent="0.25">
      <c r="A253" s="40" t="s">
        <v>72</v>
      </c>
      <c r="B253" s="16" t="s">
        <v>16</v>
      </c>
      <c r="C253" s="9">
        <v>1</v>
      </c>
      <c r="D253" s="10">
        <f>IFERROR(VLOOKUP(B253, FINANCIERO!A:D, 4, FALSE), "")</f>
        <v>66.987179487179489</v>
      </c>
      <c r="E253" s="11">
        <f t="shared" si="27"/>
        <v>66.987179487179489</v>
      </c>
      <c r="F253" s="12"/>
      <c r="G253" s="32"/>
      <c r="H253" s="29"/>
      <c r="I253" s="14"/>
      <c r="J253" s="11"/>
    </row>
    <row r="254" spans="1:10" ht="22.5" customHeight="1" x14ac:dyDescent="0.25">
      <c r="A254" s="44"/>
      <c r="B254" s="34"/>
      <c r="C254" s="35"/>
      <c r="D254" s="36"/>
      <c r="E254" s="22">
        <f>SUM(E250:E253)</f>
        <v>2086.0670405982905</v>
      </c>
      <c r="F254" s="22">
        <v>5000</v>
      </c>
      <c r="G254" s="23">
        <f>IF(F254=0, "", E254 / F254)</f>
        <v>0.41721340811965812</v>
      </c>
      <c r="H254" s="23">
        <f>100%-G254</f>
        <v>0.58278659188034188</v>
      </c>
      <c r="I254" s="24">
        <f>(F254-E254)/E254*100</f>
        <v>139.68548961714981</v>
      </c>
      <c r="J254" s="25">
        <f>F254-E254</f>
        <v>2913.9329594017095</v>
      </c>
    </row>
    <row r="255" spans="1:10" ht="22.5" hidden="1" customHeight="1" x14ac:dyDescent="0.25">
      <c r="A255" s="7" t="s">
        <v>73</v>
      </c>
      <c r="B255" s="43" t="s">
        <v>44</v>
      </c>
      <c r="C255" s="9">
        <v>1</v>
      </c>
      <c r="D255" s="10">
        <f>IFERROR(VLOOKUP(B255, FINANCIERO!A:D, 4, FALSE), "")</f>
        <v>534</v>
      </c>
      <c r="E255" s="11">
        <f t="shared" ref="E255:E257" si="28">C255*D255</f>
        <v>534</v>
      </c>
      <c r="F255" s="12"/>
      <c r="G255" s="32"/>
      <c r="H255" s="29"/>
      <c r="I255" s="14"/>
      <c r="J255" s="11"/>
    </row>
    <row r="256" spans="1:10" ht="22.5" hidden="1" customHeight="1" x14ac:dyDescent="0.25">
      <c r="A256" s="7" t="s">
        <v>73</v>
      </c>
      <c r="B256" s="43" t="s">
        <v>23</v>
      </c>
      <c r="C256" s="9">
        <v>3</v>
      </c>
      <c r="D256" s="10">
        <f>IFERROR(VLOOKUP(B256, FINANCIERO!A:D, 4, FALSE), "")</f>
        <v>225.53993055555554</v>
      </c>
      <c r="E256" s="11">
        <f t="shared" si="28"/>
        <v>676.61979166666663</v>
      </c>
      <c r="F256" s="12"/>
      <c r="G256" s="32"/>
      <c r="H256" s="29"/>
      <c r="I256" s="14"/>
      <c r="J256" s="11"/>
    </row>
    <row r="257" spans="1:10" ht="22.5" hidden="1" customHeight="1" x14ac:dyDescent="0.25">
      <c r="A257" s="7" t="s">
        <v>73</v>
      </c>
      <c r="B257" s="16" t="s">
        <v>16</v>
      </c>
      <c r="C257" s="9">
        <v>1</v>
      </c>
      <c r="D257" s="10">
        <f>IFERROR(VLOOKUP(B257, FINANCIERO!A:D, 4, FALSE), "")</f>
        <v>66.987179487179489</v>
      </c>
      <c r="E257" s="11">
        <f t="shared" si="28"/>
        <v>66.987179487179489</v>
      </c>
      <c r="F257" s="12"/>
      <c r="G257" s="32"/>
      <c r="H257" s="29"/>
      <c r="I257" s="14"/>
      <c r="J257" s="11"/>
    </row>
    <row r="258" spans="1:10" ht="22.5" hidden="1" customHeight="1" x14ac:dyDescent="0.25">
      <c r="A258" s="44"/>
      <c r="B258" s="34"/>
      <c r="C258" s="35"/>
      <c r="D258" s="36"/>
      <c r="E258" s="22">
        <f>SUM(E255:E257)</f>
        <v>1277.606971153846</v>
      </c>
      <c r="F258" s="22">
        <v>2500</v>
      </c>
      <c r="G258" s="23">
        <f>IF(F258=0, "", E258 / F258)</f>
        <v>0.51104278846153839</v>
      </c>
      <c r="H258" s="23">
        <f>100%-G258</f>
        <v>0.48895721153846161</v>
      </c>
      <c r="I258" s="24">
        <f>(F258-E258)/E258*100</f>
        <v>95.678331164878784</v>
      </c>
      <c r="J258" s="25">
        <f>F258-E258</f>
        <v>1222.393028846154</v>
      </c>
    </row>
    <row r="259" spans="1:10" ht="20.25" customHeight="1" x14ac:dyDescent="0.25">
      <c r="A259" s="45" t="s">
        <v>74</v>
      </c>
      <c r="B259" s="16" t="s">
        <v>75</v>
      </c>
      <c r="C259" s="9">
        <v>1</v>
      </c>
      <c r="D259" s="10">
        <f>IFERROR(VLOOKUP(B259, FINANCIERO!A:D, 4, FALSE), "")</f>
        <v>770.53000000000009</v>
      </c>
      <c r="E259" s="11">
        <f>C259*D259</f>
        <v>770.53000000000009</v>
      </c>
      <c r="F259" s="12"/>
      <c r="G259" s="32"/>
      <c r="H259" s="29"/>
      <c r="I259" s="14"/>
      <c r="J259" s="11"/>
    </row>
    <row r="260" spans="1:10" ht="20.25" customHeight="1" x14ac:dyDescent="0.25">
      <c r="A260" s="44"/>
      <c r="B260" s="34"/>
      <c r="C260" s="35"/>
      <c r="D260" s="36"/>
      <c r="E260" s="22">
        <f>E259</f>
        <v>770.53000000000009</v>
      </c>
      <c r="F260" s="22">
        <v>2500</v>
      </c>
      <c r="G260" s="23">
        <f>IF(F260=0, "", E260 / F260)</f>
        <v>0.30821200000000004</v>
      </c>
      <c r="H260" s="23">
        <f>100%-G260</f>
        <v>0.69178799999999996</v>
      </c>
      <c r="I260" s="24">
        <f>(F260-E260)/E260*100</f>
        <v>224.45200057103546</v>
      </c>
      <c r="J260" s="25">
        <f>F260-E260</f>
        <v>1729.4699999999998</v>
      </c>
    </row>
    <row r="261" spans="1:10" ht="20.25" customHeight="1" x14ac:dyDescent="0.25">
      <c r="A261" s="45" t="s">
        <v>76</v>
      </c>
      <c r="B261" s="15" t="s">
        <v>77</v>
      </c>
      <c r="C261" s="9">
        <v>1</v>
      </c>
      <c r="D261" s="10">
        <f>IFERROR(VLOOKUP(B261, FINANCIERO!A:D, 4, FALSE), "")</f>
        <v>758.11333333333334</v>
      </c>
      <c r="E261" s="11">
        <f>C261*D261</f>
        <v>758.11333333333334</v>
      </c>
      <c r="F261" s="12"/>
      <c r="G261" s="32"/>
      <c r="H261" s="29"/>
      <c r="I261" s="14"/>
      <c r="J261" s="11"/>
    </row>
    <row r="262" spans="1:10" ht="20.25" customHeight="1" x14ac:dyDescent="0.25">
      <c r="A262" s="44"/>
      <c r="B262" s="34"/>
      <c r="C262" s="35"/>
      <c r="D262" s="36"/>
      <c r="E262" s="22">
        <f>E261</f>
        <v>758.11333333333334</v>
      </c>
      <c r="F262" s="22">
        <v>2500</v>
      </c>
      <c r="G262" s="23">
        <f>IF(F262=0, "", E262 / F262)</f>
        <v>0.30324533333333331</v>
      </c>
      <c r="H262" s="23">
        <f>100%-G262</f>
        <v>0.69675466666666663</v>
      </c>
      <c r="I262" s="24">
        <f>(F262-E262)/E262*100</f>
        <v>229.7659980477853</v>
      </c>
      <c r="J262" s="25">
        <f>F262-E262</f>
        <v>1741.8866666666668</v>
      </c>
    </row>
    <row r="263" spans="1:10" ht="20.25" customHeight="1" x14ac:dyDescent="0.25">
      <c r="A263" s="7" t="s">
        <v>78</v>
      </c>
      <c r="B263" s="15" t="s">
        <v>79</v>
      </c>
      <c r="C263" s="9">
        <v>1</v>
      </c>
      <c r="D263" s="10">
        <f>IFERROR(VLOOKUP(B263, FINANCIERO!A:D, 4, FALSE), "")</f>
        <v>758.1</v>
      </c>
      <c r="E263" s="11">
        <f>C263*D263</f>
        <v>758.1</v>
      </c>
      <c r="F263" s="12"/>
      <c r="G263" s="32"/>
      <c r="H263" s="29"/>
      <c r="I263" s="14"/>
      <c r="J263" s="11"/>
    </row>
    <row r="264" spans="1:10" ht="20.25" customHeight="1" x14ac:dyDescent="0.25">
      <c r="A264" s="44"/>
      <c r="B264" s="34"/>
      <c r="C264" s="35"/>
      <c r="D264" s="36"/>
      <c r="E264" s="22">
        <f>E263</f>
        <v>758.1</v>
      </c>
      <c r="F264" s="22">
        <v>2500</v>
      </c>
      <c r="G264" s="23">
        <f>IF(F264=0, "", E264 / F264)</f>
        <v>0.30324000000000001</v>
      </c>
      <c r="H264" s="23">
        <f>100%-G264</f>
        <v>0.69676000000000005</v>
      </c>
      <c r="I264" s="24">
        <f>(F264-E264)/E264*100</f>
        <v>229.77179791584223</v>
      </c>
      <c r="J264" s="25">
        <f>F264-E264</f>
        <v>1741.9</v>
      </c>
    </row>
    <row r="265" spans="1:10" ht="20.25" customHeight="1" x14ac:dyDescent="0.25">
      <c r="A265" s="7" t="s">
        <v>80</v>
      </c>
      <c r="B265" s="15" t="s">
        <v>81</v>
      </c>
      <c r="C265" s="9">
        <v>1</v>
      </c>
      <c r="D265" s="10">
        <f>IFERROR(VLOOKUP(B265, FINANCIERO!A:D, 4, FALSE), "")</f>
        <v>1899.9393333333335</v>
      </c>
      <c r="E265" s="11">
        <f>C265*D265</f>
        <v>1899.9393333333335</v>
      </c>
      <c r="F265" s="12"/>
      <c r="G265" s="32"/>
      <c r="H265" s="29"/>
      <c r="I265" s="14"/>
      <c r="J265" s="11"/>
    </row>
    <row r="266" spans="1:10" ht="20.25" customHeight="1" x14ac:dyDescent="0.25">
      <c r="A266" s="44"/>
      <c r="B266" s="34"/>
      <c r="C266" s="35"/>
      <c r="D266" s="36"/>
      <c r="E266" s="22">
        <f>E265</f>
        <v>1899.9393333333335</v>
      </c>
      <c r="F266" s="22">
        <v>2500</v>
      </c>
      <c r="G266" s="23">
        <f>IF(F266=0, "", E266 / F266)</f>
        <v>0.75997573333333335</v>
      </c>
      <c r="H266" s="23">
        <f>100%-G266</f>
        <v>0.24002426666666665</v>
      </c>
      <c r="I266" s="24">
        <f>(F266-E266)/E266*100</f>
        <v>31.58314879527731</v>
      </c>
      <c r="J266" s="25">
        <f>F266-E266</f>
        <v>600.06066666666652</v>
      </c>
    </row>
    <row r="267" spans="1:10" ht="20.25" customHeight="1" x14ac:dyDescent="0.25">
      <c r="A267" s="45" t="s">
        <v>82</v>
      </c>
      <c r="B267" s="15" t="s">
        <v>83</v>
      </c>
      <c r="C267" s="9">
        <v>1</v>
      </c>
      <c r="D267" s="10">
        <f>IFERROR(VLOOKUP(B267, FINANCIERO!A:D, 4, FALSE), "")</f>
        <v>758.11333333333334</v>
      </c>
      <c r="E267" s="11">
        <f>C267*D267</f>
        <v>758.11333333333334</v>
      </c>
      <c r="F267" s="12"/>
      <c r="G267" s="32"/>
      <c r="H267" s="29"/>
      <c r="I267" s="14"/>
      <c r="J267" s="11"/>
    </row>
    <row r="268" spans="1:10" ht="20.25" customHeight="1" x14ac:dyDescent="0.25">
      <c r="A268" s="44"/>
      <c r="B268" s="34"/>
      <c r="C268" s="35"/>
      <c r="D268" s="36"/>
      <c r="E268" s="22">
        <f>E267</f>
        <v>758.11333333333334</v>
      </c>
      <c r="F268" s="22">
        <v>2500</v>
      </c>
      <c r="G268" s="23">
        <f>IF(F268=0, "", E268 / F268)</f>
        <v>0.30324533333333331</v>
      </c>
      <c r="H268" s="23">
        <f>100%-G268</f>
        <v>0.69675466666666663</v>
      </c>
      <c r="I268" s="24">
        <f>(F268-E268)/E268*100</f>
        <v>229.7659980477853</v>
      </c>
      <c r="J268" s="25">
        <f>F268-E268</f>
        <v>1741.8866666666668</v>
      </c>
    </row>
    <row r="269" spans="1:10" ht="20.25" customHeight="1" x14ac:dyDescent="0.25">
      <c r="A269" s="7" t="s">
        <v>84</v>
      </c>
      <c r="B269" s="15" t="s">
        <v>85</v>
      </c>
      <c r="C269" s="9">
        <v>1</v>
      </c>
      <c r="D269" s="10">
        <f>IFERROR(VLOOKUP(B269, FINANCIERO!A:D, 4, FALSE), "")</f>
        <v>949.96966666666674</v>
      </c>
      <c r="E269" s="11">
        <f>C269*D269</f>
        <v>949.96966666666674</v>
      </c>
      <c r="F269" s="12"/>
      <c r="G269" s="32"/>
      <c r="H269" s="29"/>
      <c r="I269" s="14"/>
      <c r="J269" s="11"/>
    </row>
    <row r="270" spans="1:10" ht="20.25" customHeight="1" x14ac:dyDescent="0.25">
      <c r="A270" s="44"/>
      <c r="B270" s="34"/>
      <c r="C270" s="35"/>
      <c r="D270" s="36"/>
      <c r="E270" s="22">
        <f>E269</f>
        <v>949.96966666666674</v>
      </c>
      <c r="F270" s="22">
        <v>2500</v>
      </c>
      <c r="G270" s="23">
        <f>IF(F270=0, "", E270 / F270)</f>
        <v>0.37998786666666667</v>
      </c>
      <c r="H270" s="23">
        <f>100%-G270</f>
        <v>0.62001213333333327</v>
      </c>
      <c r="I270" s="24">
        <f>(F270-E270)/E270*100</f>
        <v>163.16629759055462</v>
      </c>
      <c r="J270" s="25">
        <f>F270-E270</f>
        <v>1550.0303333333331</v>
      </c>
    </row>
    <row r="271" spans="1:10" ht="20.25" customHeight="1" x14ac:dyDescent="0.25">
      <c r="A271" s="7" t="s">
        <v>86</v>
      </c>
      <c r="B271" s="15" t="s">
        <v>11</v>
      </c>
      <c r="C271" s="9">
        <v>110</v>
      </c>
      <c r="D271" s="10">
        <f>IFERROR(VLOOKUP(B271, FINANCIERO!A:D, 4, FALSE), "")</f>
        <v>12.925000000000001</v>
      </c>
      <c r="E271" s="11">
        <f>C271*D271</f>
        <v>1421.75</v>
      </c>
      <c r="F271" s="12"/>
      <c r="G271" s="32"/>
      <c r="H271" s="29"/>
      <c r="I271" s="14"/>
      <c r="J271" s="11"/>
    </row>
    <row r="272" spans="1:10" ht="20.25" customHeight="1" x14ac:dyDescent="0.25">
      <c r="A272" s="44"/>
      <c r="B272" s="34"/>
      <c r="C272" s="35"/>
      <c r="D272" s="36"/>
      <c r="E272" s="22">
        <f>E271</f>
        <v>1421.75</v>
      </c>
      <c r="F272" s="22">
        <v>2500</v>
      </c>
      <c r="G272" s="23">
        <f>IF(F272=0, "", E272 / F272)</f>
        <v>0.56869999999999998</v>
      </c>
      <c r="H272" s="23">
        <f>100%-G272</f>
        <v>0.43130000000000002</v>
      </c>
      <c r="I272" s="24">
        <f>(F272-E272)/E272*100</f>
        <v>75.839634253560746</v>
      </c>
      <c r="J272" s="25">
        <f>F272-E272</f>
        <v>1078.25</v>
      </c>
    </row>
    <row r="273" spans="1:10" ht="20.25" customHeight="1" x14ac:dyDescent="0.25">
      <c r="A273" s="46" t="s">
        <v>87</v>
      </c>
      <c r="B273" s="15" t="s">
        <v>88</v>
      </c>
      <c r="C273" s="9">
        <v>1</v>
      </c>
      <c r="D273" s="10">
        <f>IFERROR(VLOOKUP(B273, FINANCIERO!A:D, 4, FALSE), "")</f>
        <v>717.35833333333323</v>
      </c>
      <c r="E273" s="11">
        <f>C273*D273</f>
        <v>717.35833333333323</v>
      </c>
      <c r="F273" s="12"/>
      <c r="G273" s="32"/>
      <c r="H273" s="29"/>
      <c r="I273" s="14"/>
      <c r="J273" s="11"/>
    </row>
    <row r="274" spans="1:10" ht="20.25" customHeight="1" x14ac:dyDescent="0.25">
      <c r="A274" s="44"/>
      <c r="B274" s="34"/>
      <c r="C274" s="35"/>
      <c r="D274" s="36"/>
      <c r="E274" s="22">
        <f>E273</f>
        <v>717.35833333333323</v>
      </c>
      <c r="F274" s="22">
        <v>2500</v>
      </c>
      <c r="G274" s="23">
        <f>IF(F274=0, "", E274 / F274)</f>
        <v>0.28694333333333327</v>
      </c>
      <c r="H274" s="23">
        <f>100%-G274</f>
        <v>0.71305666666666667</v>
      </c>
      <c r="I274" s="24">
        <f>(F274-E274)/E274*100</f>
        <v>248.50086544381594</v>
      </c>
      <c r="J274" s="25">
        <f>F274-E274</f>
        <v>1782.6416666666669</v>
      </c>
    </row>
    <row r="275" spans="1:10" ht="20.25" customHeight="1" x14ac:dyDescent="0.25">
      <c r="A275" s="46" t="s">
        <v>89</v>
      </c>
      <c r="B275" s="15" t="s">
        <v>90</v>
      </c>
      <c r="C275" s="9">
        <v>1</v>
      </c>
      <c r="D275" s="10">
        <f>IFERROR(VLOOKUP(B275, FINANCIERO!A:D, 4, FALSE), "")</f>
        <v>920.66416666666657</v>
      </c>
      <c r="E275" s="11">
        <f>C275*D275</f>
        <v>920.66416666666657</v>
      </c>
      <c r="F275" s="12"/>
      <c r="G275" s="32"/>
      <c r="H275" s="29"/>
      <c r="I275" s="14"/>
      <c r="J275" s="11"/>
    </row>
    <row r="276" spans="1:10" ht="20.25" customHeight="1" x14ac:dyDescent="0.25">
      <c r="A276" s="44"/>
      <c r="B276" s="34"/>
      <c r="C276" s="35"/>
      <c r="D276" s="36"/>
      <c r="E276" s="22">
        <f>E275</f>
        <v>920.66416666666657</v>
      </c>
      <c r="F276" s="22">
        <v>2500</v>
      </c>
      <c r="G276" s="23">
        <f>IF(F276=0, "", E276 / F276)</f>
        <v>0.3682656666666666</v>
      </c>
      <c r="H276" s="23">
        <f>100%-G276</f>
        <v>0.6317343333333334</v>
      </c>
      <c r="I276" s="24">
        <f>(F276-E276)/E276*100</f>
        <v>171.54309796279321</v>
      </c>
      <c r="J276" s="25">
        <f>F276-E276</f>
        <v>1579.3358333333335</v>
      </c>
    </row>
    <row r="277" spans="1:10" ht="20.25" customHeight="1" x14ac:dyDescent="0.25">
      <c r="A277" s="46" t="s">
        <v>91</v>
      </c>
      <c r="B277" s="15" t="s">
        <v>81</v>
      </c>
      <c r="C277" s="9">
        <v>1</v>
      </c>
      <c r="D277" s="10">
        <f>IFERROR(VLOOKUP(B277, FINANCIERO!A:D, 4, FALSE), "")</f>
        <v>1899.9393333333335</v>
      </c>
      <c r="E277" s="11">
        <f t="shared" ref="E277:E278" si="29">C277*D277</f>
        <v>1899.9393333333335</v>
      </c>
      <c r="F277" s="12"/>
      <c r="G277" s="32"/>
      <c r="H277" s="29"/>
      <c r="I277" s="14"/>
      <c r="J277" s="11"/>
    </row>
    <row r="278" spans="1:10" ht="20.25" customHeight="1" x14ac:dyDescent="0.25">
      <c r="A278" s="46" t="s">
        <v>91</v>
      </c>
      <c r="B278" s="15" t="s">
        <v>92</v>
      </c>
      <c r="C278" s="9">
        <v>1</v>
      </c>
      <c r="D278" s="10">
        <f>IFERROR(VLOOKUP(B278, FINANCIERO!A:D, 4, FALSE), "")</f>
        <v>828</v>
      </c>
      <c r="E278" s="11">
        <f t="shared" si="29"/>
        <v>828</v>
      </c>
      <c r="F278" s="12"/>
      <c r="G278" s="32"/>
      <c r="H278" s="29"/>
      <c r="I278" s="14"/>
      <c r="J278" s="11"/>
    </row>
    <row r="279" spans="1:10" ht="20.25" customHeight="1" x14ac:dyDescent="0.25">
      <c r="A279" s="44"/>
      <c r="B279" s="34"/>
      <c r="C279" s="35"/>
      <c r="D279" s="36"/>
      <c r="E279" s="22">
        <f>E277</f>
        <v>1899.9393333333335</v>
      </c>
      <c r="F279" s="22">
        <v>2500</v>
      </c>
      <c r="G279" s="23">
        <f>IF(F279=0, "", E279 / F279)</f>
        <v>0.75997573333333335</v>
      </c>
      <c r="H279" s="23">
        <f>100%-G279</f>
        <v>0.24002426666666665</v>
      </c>
      <c r="I279" s="24">
        <f>(F279-E279)/E279*100</f>
        <v>31.58314879527731</v>
      </c>
      <c r="J279" s="25">
        <f>F279-E279</f>
        <v>600.06066666666652</v>
      </c>
    </row>
    <row r="280" spans="1:10" ht="20.25" customHeight="1" x14ac:dyDescent="0.25">
      <c r="A280" s="46" t="s">
        <v>93</v>
      </c>
      <c r="B280" s="15" t="s">
        <v>94</v>
      </c>
      <c r="C280" s="9">
        <v>1</v>
      </c>
      <c r="D280" s="10">
        <f>IFERROR(VLOOKUP(B280, FINANCIERO!A:D, 4, FALSE), "")</f>
        <v>717.375</v>
      </c>
      <c r="E280" s="11">
        <f>C280*D280</f>
        <v>717.375</v>
      </c>
      <c r="F280" s="12"/>
      <c r="G280" s="32"/>
      <c r="H280" s="29"/>
      <c r="I280" s="14"/>
      <c r="J280" s="11"/>
    </row>
    <row r="281" spans="1:10" ht="20.25" customHeight="1" x14ac:dyDescent="0.25">
      <c r="A281" s="44"/>
      <c r="B281" s="34"/>
      <c r="C281" s="35"/>
      <c r="D281" s="36"/>
      <c r="E281" s="22">
        <f>E280</f>
        <v>717.375</v>
      </c>
      <c r="F281" s="22">
        <v>2500</v>
      </c>
      <c r="G281" s="23">
        <f>IF(F281=0, "", E281 / F281)</f>
        <v>0.28694999999999998</v>
      </c>
      <c r="H281" s="23">
        <f>100%-G281</f>
        <v>0.71304999999999996</v>
      </c>
      <c r="I281" s="24">
        <f>(F281-E281)/E281*100</f>
        <v>248.49276877504792</v>
      </c>
      <c r="J281" s="25">
        <f>F281-E281</f>
        <v>1782.625</v>
      </c>
    </row>
    <row r="282" spans="1:10" ht="20.25" customHeight="1" x14ac:dyDescent="0.25">
      <c r="A282" s="46" t="s">
        <v>95</v>
      </c>
      <c r="B282" s="15" t="s">
        <v>96</v>
      </c>
      <c r="C282" s="9">
        <v>1</v>
      </c>
      <c r="D282" s="10">
        <f>IFERROR(VLOOKUP(B282, FINANCIERO!A:D, 4, FALSE), "")</f>
        <v>2800</v>
      </c>
      <c r="E282" s="11">
        <f>C282*D282</f>
        <v>2800</v>
      </c>
      <c r="F282" s="12"/>
      <c r="G282" s="32"/>
      <c r="H282" s="29"/>
      <c r="I282" s="14"/>
      <c r="J282" s="11"/>
    </row>
    <row r="283" spans="1:10" ht="20.25" customHeight="1" x14ac:dyDescent="0.25">
      <c r="A283" s="44"/>
      <c r="B283" s="34"/>
      <c r="C283" s="35"/>
      <c r="D283" s="36"/>
      <c r="E283" s="22">
        <f>E282</f>
        <v>2800</v>
      </c>
      <c r="F283" s="22">
        <v>2500</v>
      </c>
      <c r="G283" s="23">
        <f>IF(F283=0, "", E283 / F283)</f>
        <v>1.1200000000000001</v>
      </c>
      <c r="H283" s="23">
        <f>100%-G283</f>
        <v>-0.12000000000000011</v>
      </c>
      <c r="I283" s="24">
        <f>(F283-E283)/E283*100</f>
        <v>-10.714285714285714</v>
      </c>
      <c r="J283" s="25">
        <f>F283-E283</f>
        <v>-300</v>
      </c>
    </row>
    <row r="284" spans="1:10" ht="20.25" customHeight="1" x14ac:dyDescent="0.25">
      <c r="A284" s="46" t="s">
        <v>97</v>
      </c>
      <c r="B284" s="15" t="s">
        <v>98</v>
      </c>
      <c r="C284" s="9">
        <v>1</v>
      </c>
      <c r="D284" s="10">
        <f>IFERROR(VLOOKUP(B284, FINANCIERO!A:D, 4, FALSE), "")</f>
        <v>2800</v>
      </c>
      <c r="E284" s="11">
        <f>C284*D284</f>
        <v>2800</v>
      </c>
      <c r="F284" s="12"/>
      <c r="G284" s="32"/>
      <c r="H284" s="29"/>
      <c r="I284" s="14"/>
      <c r="J284" s="11"/>
    </row>
    <row r="285" spans="1:10" ht="20.25" customHeight="1" x14ac:dyDescent="0.25">
      <c r="A285" s="44"/>
      <c r="B285" s="34"/>
      <c r="C285" s="35"/>
      <c r="D285" s="36"/>
      <c r="E285" s="22">
        <f>E284</f>
        <v>2800</v>
      </c>
      <c r="F285" s="22">
        <v>2500</v>
      </c>
      <c r="G285" s="23">
        <f>IF(F285=0, "", E285 / F285)</f>
        <v>1.1200000000000001</v>
      </c>
      <c r="H285" s="23">
        <f>100%-G285</f>
        <v>-0.12000000000000011</v>
      </c>
      <c r="I285" s="24">
        <f>(F285-E285)/E285*100</f>
        <v>-10.714285714285714</v>
      </c>
      <c r="J285" s="25">
        <f>F285-E285</f>
        <v>-300</v>
      </c>
    </row>
    <row r="286" spans="1:10" ht="20.25" customHeight="1" x14ac:dyDescent="0.25">
      <c r="A286" s="46" t="s">
        <v>99</v>
      </c>
      <c r="B286" s="15" t="s">
        <v>54</v>
      </c>
      <c r="C286" s="9">
        <v>1</v>
      </c>
      <c r="D286" s="10">
        <f>IFERROR(VLOOKUP(B286, FINANCIERO!A:D, 4, FALSE), "")</f>
        <v>700</v>
      </c>
      <c r="E286" s="11">
        <f>C286*D286</f>
        <v>700</v>
      </c>
      <c r="F286" s="12"/>
      <c r="G286" s="32"/>
      <c r="H286" s="29"/>
      <c r="I286" s="14"/>
      <c r="J286" s="11"/>
    </row>
    <row r="287" spans="1:10" ht="20.25" customHeight="1" x14ac:dyDescent="0.25">
      <c r="A287" s="44"/>
      <c r="B287" s="34"/>
      <c r="C287" s="35"/>
      <c r="D287" s="36"/>
      <c r="E287" s="22">
        <f>E286</f>
        <v>700</v>
      </c>
      <c r="F287" s="22">
        <v>2500</v>
      </c>
      <c r="G287" s="23">
        <f>IF(F287=0, "", E287 / F287)</f>
        <v>0.28000000000000003</v>
      </c>
      <c r="H287" s="23">
        <f>100%-G287</f>
        <v>0.72</v>
      </c>
      <c r="I287" s="24">
        <f>(F287-E287)/E287*100</f>
        <v>257.14285714285717</v>
      </c>
      <c r="J287" s="25">
        <f>F287-E287</f>
        <v>1800</v>
      </c>
    </row>
    <row r="288" spans="1:10" ht="20.25" customHeight="1" x14ac:dyDescent="0.25">
      <c r="A288" s="47" t="s">
        <v>100</v>
      </c>
      <c r="B288" s="15" t="s">
        <v>23</v>
      </c>
      <c r="C288" s="9">
        <v>2</v>
      </c>
      <c r="D288" s="10">
        <f>IFERROR(VLOOKUP(B288, FINANCIERO!A:D, 4, FALSE), "")</f>
        <v>225.53993055555554</v>
      </c>
      <c r="E288" s="11">
        <f>C288*D288</f>
        <v>451.07986111111109</v>
      </c>
      <c r="F288" s="12"/>
      <c r="G288" s="32"/>
      <c r="H288" s="29"/>
      <c r="I288" s="14"/>
      <c r="J288" s="11"/>
    </row>
    <row r="289" spans="1:10" ht="20.25" customHeight="1" x14ac:dyDescent="0.25">
      <c r="A289" s="44"/>
      <c r="B289" s="34"/>
      <c r="C289" s="35"/>
      <c r="D289" s="36"/>
      <c r="E289" s="22">
        <f>E288</f>
        <v>451.07986111111109</v>
      </c>
      <c r="F289" s="22">
        <v>2500</v>
      </c>
      <c r="G289" s="23">
        <f>IF(F289=0, "", E289 / F289)</f>
        <v>0.18043194444444444</v>
      </c>
      <c r="H289" s="23">
        <f>100%-G289</f>
        <v>0.81956805555555556</v>
      </c>
      <c r="I289" s="24">
        <f>(F289-E289)/E289*100</f>
        <v>454.22558520833496</v>
      </c>
      <c r="J289" s="25">
        <f>F289-E289</f>
        <v>2048.9201388888887</v>
      </c>
    </row>
    <row r="290" spans="1:10" ht="20.25" customHeight="1" x14ac:dyDescent="0.25">
      <c r="A290" s="48"/>
      <c r="B290" s="49"/>
      <c r="C290" s="49"/>
      <c r="D290" s="50"/>
      <c r="E290" s="51"/>
      <c r="F290" s="51"/>
      <c r="G290" s="52"/>
      <c r="H290" s="52"/>
      <c r="I290" s="53"/>
      <c r="J290" s="53"/>
    </row>
    <row r="291" spans="1:10" ht="13.2" x14ac:dyDescent="0.25">
      <c r="A291" s="54"/>
      <c r="B291" s="55"/>
      <c r="C291" s="54"/>
      <c r="D291" s="56"/>
      <c r="E291" s="57"/>
      <c r="F291" s="58"/>
      <c r="G291" s="59"/>
      <c r="H291" s="60"/>
      <c r="I291" s="54"/>
      <c r="J291" s="54"/>
    </row>
    <row r="292" spans="1:10" ht="13.2" x14ac:dyDescent="0.25">
      <c r="A292" s="54"/>
      <c r="B292" s="55"/>
      <c r="C292" s="54"/>
      <c r="D292" s="56"/>
      <c r="E292" s="57"/>
      <c r="F292" s="58"/>
      <c r="G292" s="59"/>
      <c r="H292" s="60"/>
      <c r="I292" s="54"/>
      <c r="J292" s="54"/>
    </row>
    <row r="293" spans="1:10" ht="13.2" x14ac:dyDescent="0.25">
      <c r="A293" s="54"/>
      <c r="B293" s="55"/>
      <c r="C293" s="54"/>
      <c r="D293" s="56"/>
      <c r="E293" s="57"/>
      <c r="F293" s="58"/>
      <c r="G293" s="59"/>
      <c r="H293" s="60"/>
      <c r="I293" s="54"/>
      <c r="J293" s="54"/>
    </row>
    <row r="294" spans="1:10" ht="13.2" x14ac:dyDescent="0.25">
      <c r="A294" s="54"/>
      <c r="B294" s="55"/>
      <c r="C294" s="54"/>
      <c r="D294" s="56"/>
      <c r="E294" s="57"/>
      <c r="F294" s="58"/>
      <c r="G294" s="59"/>
      <c r="H294" s="60"/>
      <c r="I294" s="54"/>
      <c r="J294" s="54"/>
    </row>
    <row r="295" spans="1:10" ht="13.2" x14ac:dyDescent="0.25">
      <c r="A295" s="54"/>
      <c r="B295" s="55"/>
      <c r="C295" s="54"/>
      <c r="D295" s="56"/>
      <c r="E295" s="57"/>
      <c r="F295" s="58"/>
      <c r="G295" s="59"/>
      <c r="H295" s="60"/>
      <c r="I295" s="54"/>
      <c r="J295" s="54"/>
    </row>
    <row r="296" spans="1:10" ht="13.2" x14ac:dyDescent="0.25">
      <c r="A296" s="54"/>
      <c r="B296" s="55"/>
      <c r="C296" s="54"/>
      <c r="D296" s="56"/>
      <c r="E296" s="57"/>
      <c r="F296" s="58"/>
      <c r="G296" s="59"/>
      <c r="H296" s="60"/>
      <c r="I296" s="54"/>
      <c r="J296" s="54"/>
    </row>
    <row r="297" spans="1:10" ht="13.2" x14ac:dyDescent="0.25">
      <c r="A297" s="54"/>
      <c r="B297" s="55"/>
      <c r="C297" s="54"/>
      <c r="D297" s="56"/>
      <c r="E297" s="57"/>
      <c r="F297" s="58"/>
      <c r="G297" s="59"/>
      <c r="H297" s="60"/>
      <c r="I297" s="54"/>
      <c r="J297" s="54"/>
    </row>
    <row r="298" spans="1:10" ht="13.2" x14ac:dyDescent="0.25">
      <c r="A298" s="54"/>
      <c r="B298" s="55"/>
      <c r="C298" s="54"/>
      <c r="D298" s="56"/>
      <c r="E298" s="57"/>
      <c r="F298" s="58"/>
      <c r="G298" s="59"/>
      <c r="H298" s="60"/>
      <c r="I298" s="54"/>
      <c r="J298" s="54"/>
    </row>
    <row r="299" spans="1:10" ht="13.2" x14ac:dyDescent="0.25">
      <c r="A299" s="54"/>
      <c r="B299" s="55"/>
      <c r="C299" s="54"/>
      <c r="D299" s="56"/>
      <c r="E299" s="57"/>
      <c r="F299" s="58"/>
      <c r="G299" s="59"/>
      <c r="H299" s="60"/>
      <c r="I299" s="54"/>
      <c r="J299" s="54"/>
    </row>
    <row r="300" spans="1:10" ht="13.2" x14ac:dyDescent="0.25">
      <c r="A300" s="54"/>
      <c r="B300" s="55"/>
      <c r="C300" s="54"/>
      <c r="D300" s="56"/>
      <c r="E300" s="57"/>
      <c r="F300" s="58"/>
      <c r="G300" s="59"/>
      <c r="H300" s="60"/>
      <c r="I300" s="54"/>
      <c r="J300" s="54"/>
    </row>
  </sheetData>
  <dataValidations count="3">
    <dataValidation type="custom" allowBlank="1" showDropDown="1" sqref="I2:J289" xr:uid="{00000000-0002-0000-0000-000000000000}">
      <formula1>AND(ISNUMBER(I2),(NOT(OR(NOT(ISERROR(DATEVALUE(I2))), AND(ISNUMBER(I2), LEFT(CELL("format", I2))="D")))))</formula1>
    </dataValidation>
    <dataValidation allowBlank="1" showDropDown="1" sqref="A2:A289" xr:uid="{00000000-0002-0000-0000-000001000000}"/>
    <dataValidation type="list" allowBlank="1" sqref="B2:B289" xr:uid="{00000000-0002-0000-0000-000002000000}">
      <formula1>#REF!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5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25"/>
  <cols>
    <col min="1" max="1" width="32" customWidth="1"/>
    <col min="2" max="2" width="18.33203125" customWidth="1"/>
    <col min="3" max="3" width="18.6640625" customWidth="1"/>
    <col min="4" max="4" width="18.21875" customWidth="1"/>
    <col min="5" max="5" width="10.88671875" customWidth="1"/>
    <col min="6" max="6" width="16.21875" customWidth="1"/>
  </cols>
  <sheetData>
    <row r="1" spans="1:6" ht="13.2" x14ac:dyDescent="0.25">
      <c r="B1" s="61"/>
      <c r="C1" s="61"/>
      <c r="D1" s="61"/>
      <c r="E1" s="61"/>
      <c r="F1" s="61"/>
    </row>
    <row r="2" spans="1:6" ht="22.5" customHeight="1" x14ac:dyDescent="0.25">
      <c r="A2" s="2" t="s">
        <v>101</v>
      </c>
      <c r="B2" s="62" t="s">
        <v>102</v>
      </c>
      <c r="C2" s="63" t="s">
        <v>103</v>
      </c>
      <c r="D2" s="62" t="s">
        <v>104</v>
      </c>
      <c r="E2" s="62" t="s">
        <v>105</v>
      </c>
      <c r="F2" s="62" t="s">
        <v>106</v>
      </c>
    </row>
    <row r="3" spans="1:6" ht="22.5" customHeight="1" x14ac:dyDescent="0.25">
      <c r="A3" s="64" t="s">
        <v>11</v>
      </c>
      <c r="B3" s="65">
        <f>(B39*0.5)+(B37*0.25)+(B38*0.25)</f>
        <v>12925</v>
      </c>
      <c r="C3" s="66">
        <v>1000</v>
      </c>
      <c r="D3" s="67">
        <f t="shared" ref="D3:D4" si="0">B3/C3</f>
        <v>12.925000000000001</v>
      </c>
      <c r="E3" s="68" t="b">
        <v>1</v>
      </c>
      <c r="F3" s="69">
        <v>46035</v>
      </c>
    </row>
    <row r="4" spans="1:6" ht="22.5" customHeight="1" x14ac:dyDescent="0.25">
      <c r="A4" s="70" t="s">
        <v>107</v>
      </c>
      <c r="B4" s="65">
        <f>(B34*0.35)+(B35*0.5)+(B36*0.15)</f>
        <v>11115</v>
      </c>
      <c r="C4" s="71">
        <v>1000</v>
      </c>
      <c r="D4" s="72">
        <f t="shared" si="0"/>
        <v>11.115</v>
      </c>
      <c r="E4" s="68" t="b">
        <v>1</v>
      </c>
      <c r="F4" s="69">
        <v>46058</v>
      </c>
    </row>
    <row r="5" spans="1:6" ht="22.5" customHeight="1" x14ac:dyDescent="0.25">
      <c r="A5" s="73" t="s">
        <v>54</v>
      </c>
      <c r="B5" s="72">
        <v>700</v>
      </c>
      <c r="C5" s="74">
        <v>1</v>
      </c>
      <c r="D5" s="75">
        <f>C5*B5</f>
        <v>700</v>
      </c>
      <c r="E5" s="68" t="b">
        <v>1</v>
      </c>
      <c r="F5" s="69"/>
    </row>
    <row r="6" spans="1:6" ht="22.5" customHeight="1" x14ac:dyDescent="0.25">
      <c r="A6" s="76" t="s">
        <v>49</v>
      </c>
      <c r="B6" s="77">
        <f>(B29 * 2) + (B30 * 2) + (B31 * 0.5)</f>
        <v>14485.82</v>
      </c>
      <c r="C6" s="78">
        <v>3000</v>
      </c>
      <c r="D6" s="79">
        <f>(B6/C6)*1</f>
        <v>4.8286066666666665</v>
      </c>
      <c r="E6" s="68" t="b">
        <v>1</v>
      </c>
      <c r="F6" s="69"/>
    </row>
    <row r="7" spans="1:6" ht="22.5" customHeight="1" x14ac:dyDescent="0.25">
      <c r="A7" s="8" t="s">
        <v>23</v>
      </c>
      <c r="B7" s="80">
        <v>129911</v>
      </c>
      <c r="C7" s="78">
        <v>576</v>
      </c>
      <c r="D7" s="79">
        <f t="shared" ref="D7:D39" si="1">B7/C7</f>
        <v>225.53993055555554</v>
      </c>
      <c r="E7" s="68" t="b">
        <v>1</v>
      </c>
      <c r="F7" s="69"/>
    </row>
    <row r="8" spans="1:6" ht="22.5" customHeight="1" x14ac:dyDescent="0.25">
      <c r="A8" s="81" t="s">
        <v>44</v>
      </c>
      <c r="B8" s="80">
        <v>534</v>
      </c>
      <c r="C8" s="78">
        <v>1</v>
      </c>
      <c r="D8" s="79">
        <f t="shared" si="1"/>
        <v>534</v>
      </c>
      <c r="E8" s="68" t="b">
        <v>1</v>
      </c>
      <c r="F8" s="69"/>
    </row>
    <row r="9" spans="1:6" ht="22.5" customHeight="1" x14ac:dyDescent="0.25">
      <c r="A9" s="81" t="s">
        <v>13</v>
      </c>
      <c r="B9" s="80">
        <v>648</v>
      </c>
      <c r="C9" s="78">
        <v>1</v>
      </c>
      <c r="D9" s="79">
        <f t="shared" si="1"/>
        <v>648</v>
      </c>
      <c r="E9" s="68" t="b">
        <v>1</v>
      </c>
      <c r="F9" s="69"/>
    </row>
    <row r="10" spans="1:6" ht="22.5" customHeight="1" x14ac:dyDescent="0.25">
      <c r="A10" s="81" t="s">
        <v>22</v>
      </c>
      <c r="B10" s="80">
        <v>250</v>
      </c>
      <c r="C10" s="78">
        <v>1</v>
      </c>
      <c r="D10" s="79">
        <f t="shared" si="1"/>
        <v>250</v>
      </c>
      <c r="E10" s="68" t="b">
        <v>1</v>
      </c>
      <c r="F10" s="69">
        <v>46045</v>
      </c>
    </row>
    <row r="11" spans="1:6" ht="22.5" customHeight="1" x14ac:dyDescent="0.25">
      <c r="A11" s="81" t="s">
        <v>15</v>
      </c>
      <c r="B11" s="80">
        <v>52032.62</v>
      </c>
      <c r="C11" s="78">
        <v>15000</v>
      </c>
      <c r="D11" s="79">
        <f t="shared" si="1"/>
        <v>3.4688413333333337</v>
      </c>
      <c r="E11" s="68" t="b">
        <v>1</v>
      </c>
      <c r="F11" s="69"/>
    </row>
    <row r="12" spans="1:6" ht="22.5" customHeight="1" x14ac:dyDescent="0.25">
      <c r="A12" s="81" t="s">
        <v>34</v>
      </c>
      <c r="B12" s="80">
        <v>9181.2099999999991</v>
      </c>
      <c r="C12" s="78">
        <v>1000</v>
      </c>
      <c r="D12" s="79">
        <f t="shared" si="1"/>
        <v>9.1812099999999983</v>
      </c>
      <c r="E12" s="68" t="b">
        <v>1</v>
      </c>
      <c r="F12" s="69"/>
    </row>
    <row r="13" spans="1:6" ht="22.5" customHeight="1" x14ac:dyDescent="0.25">
      <c r="A13" s="8" t="s">
        <v>70</v>
      </c>
      <c r="B13" s="80">
        <v>40338.35</v>
      </c>
      <c r="C13" s="78">
        <v>3000</v>
      </c>
      <c r="D13" s="79">
        <f t="shared" si="1"/>
        <v>13.446116666666667</v>
      </c>
      <c r="E13" s="68" t="b">
        <v>1</v>
      </c>
      <c r="F13" s="69"/>
    </row>
    <row r="14" spans="1:6" ht="22.5" customHeight="1" x14ac:dyDescent="0.25">
      <c r="A14" s="8" t="s">
        <v>24</v>
      </c>
      <c r="B14" s="80">
        <v>25480.5</v>
      </c>
      <c r="C14" s="82">
        <v>3500</v>
      </c>
      <c r="D14" s="79">
        <f t="shared" si="1"/>
        <v>7.2801428571428568</v>
      </c>
      <c r="E14" s="68" t="b">
        <v>1</v>
      </c>
      <c r="F14" s="69">
        <v>46045</v>
      </c>
    </row>
    <row r="15" spans="1:6" ht="22.5" customHeight="1" x14ac:dyDescent="0.25">
      <c r="A15" s="8" t="s">
        <v>14</v>
      </c>
      <c r="B15" s="80">
        <v>5633.26</v>
      </c>
      <c r="C15" s="78">
        <v>1000</v>
      </c>
      <c r="D15" s="79">
        <f t="shared" si="1"/>
        <v>5.6332599999999999</v>
      </c>
      <c r="E15" s="68" t="b">
        <v>1</v>
      </c>
      <c r="F15" s="69"/>
    </row>
    <row r="16" spans="1:6" ht="22.5" customHeight="1" x14ac:dyDescent="0.25">
      <c r="A16" s="8" t="s">
        <v>108</v>
      </c>
      <c r="B16" s="80">
        <v>8231.74</v>
      </c>
      <c r="C16" s="78">
        <v>1000</v>
      </c>
      <c r="D16" s="79">
        <f t="shared" si="1"/>
        <v>8.2317400000000003</v>
      </c>
      <c r="E16" s="68" t="b">
        <v>1</v>
      </c>
      <c r="F16" s="69"/>
    </row>
    <row r="17" spans="1:6" ht="22.5" customHeight="1" x14ac:dyDescent="0.25">
      <c r="A17" s="81" t="s">
        <v>109</v>
      </c>
      <c r="B17" s="80">
        <v>63000</v>
      </c>
      <c r="C17" s="78">
        <v>30</v>
      </c>
      <c r="D17" s="79">
        <f t="shared" si="1"/>
        <v>2100</v>
      </c>
      <c r="E17" s="68" t="b">
        <v>1</v>
      </c>
      <c r="F17" s="69"/>
    </row>
    <row r="18" spans="1:6" ht="22.5" customHeight="1" x14ac:dyDescent="0.25">
      <c r="A18" s="81" t="s">
        <v>40</v>
      </c>
      <c r="B18" s="80">
        <v>10000</v>
      </c>
      <c r="C18" s="78">
        <v>1000</v>
      </c>
      <c r="D18" s="79">
        <f t="shared" si="1"/>
        <v>10</v>
      </c>
      <c r="E18" s="68" t="b">
        <v>1</v>
      </c>
      <c r="F18" s="69"/>
    </row>
    <row r="19" spans="1:6" ht="22.5" customHeight="1" x14ac:dyDescent="0.25">
      <c r="A19" s="81" t="s">
        <v>98</v>
      </c>
      <c r="B19" s="80">
        <v>2800</v>
      </c>
      <c r="C19" s="78">
        <v>1</v>
      </c>
      <c r="D19" s="79">
        <f t="shared" si="1"/>
        <v>2800</v>
      </c>
      <c r="E19" s="68" t="b">
        <v>1</v>
      </c>
      <c r="F19" s="69"/>
    </row>
    <row r="20" spans="1:6" ht="22.5" customHeight="1" x14ac:dyDescent="0.25">
      <c r="A20" s="81" t="s">
        <v>96</v>
      </c>
      <c r="B20" s="80">
        <v>2800</v>
      </c>
      <c r="C20" s="78">
        <v>1</v>
      </c>
      <c r="D20" s="79">
        <f t="shared" si="1"/>
        <v>2800</v>
      </c>
      <c r="E20" s="68" t="b">
        <v>1</v>
      </c>
      <c r="F20" s="69"/>
    </row>
    <row r="21" spans="1:6" ht="22.5" customHeight="1" x14ac:dyDescent="0.25">
      <c r="A21" s="81" t="s">
        <v>56</v>
      </c>
      <c r="B21" s="80">
        <v>5000</v>
      </c>
      <c r="C21" s="78">
        <v>1000</v>
      </c>
      <c r="D21" s="79">
        <f t="shared" si="1"/>
        <v>5</v>
      </c>
      <c r="E21" s="68" t="b">
        <v>0</v>
      </c>
      <c r="F21" s="69"/>
    </row>
    <row r="22" spans="1:6" ht="22.5" customHeight="1" x14ac:dyDescent="0.25">
      <c r="A22" s="81" t="s">
        <v>52</v>
      </c>
      <c r="B22" s="80">
        <v>10000</v>
      </c>
      <c r="C22" s="78">
        <v>1000</v>
      </c>
      <c r="D22" s="79">
        <f t="shared" si="1"/>
        <v>10</v>
      </c>
      <c r="E22" s="68" t="b">
        <v>0</v>
      </c>
      <c r="F22" s="69"/>
    </row>
    <row r="23" spans="1:6" ht="22.5" customHeight="1" x14ac:dyDescent="0.25">
      <c r="A23" s="81" t="s">
        <v>61</v>
      </c>
      <c r="B23" s="80">
        <v>6800</v>
      </c>
      <c r="C23" s="78">
        <v>30</v>
      </c>
      <c r="D23" s="79">
        <f t="shared" si="1"/>
        <v>226.66666666666666</v>
      </c>
      <c r="E23" s="68" t="b">
        <v>1</v>
      </c>
      <c r="F23" s="69"/>
    </row>
    <row r="24" spans="1:6" ht="22.5" customHeight="1" x14ac:dyDescent="0.25">
      <c r="A24" s="81" t="s">
        <v>51</v>
      </c>
      <c r="B24" s="80">
        <v>18000</v>
      </c>
      <c r="C24" s="78">
        <v>1500</v>
      </c>
      <c r="D24" s="79">
        <f t="shared" si="1"/>
        <v>12</v>
      </c>
      <c r="E24" s="68" t="b">
        <v>1</v>
      </c>
      <c r="F24" s="69"/>
    </row>
    <row r="25" spans="1:6" ht="22.5" customHeight="1" x14ac:dyDescent="0.25">
      <c r="A25" s="81" t="s">
        <v>19</v>
      </c>
      <c r="B25" s="80">
        <v>5375.14</v>
      </c>
      <c r="C25" s="78">
        <v>1000</v>
      </c>
      <c r="D25" s="79">
        <f t="shared" si="1"/>
        <v>5.37514</v>
      </c>
      <c r="E25" s="68" t="b">
        <v>0</v>
      </c>
      <c r="F25" s="69"/>
    </row>
    <row r="26" spans="1:6" ht="21.75" customHeight="1" x14ac:dyDescent="0.25">
      <c r="A26" s="8" t="s">
        <v>110</v>
      </c>
      <c r="B26" s="83">
        <v>10847</v>
      </c>
      <c r="C26" s="78">
        <v>3000</v>
      </c>
      <c r="D26" s="79">
        <f t="shared" si="1"/>
        <v>3.6156666666666668</v>
      </c>
      <c r="E26" s="68" t="b">
        <v>0</v>
      </c>
      <c r="F26" s="69"/>
    </row>
    <row r="27" spans="1:6" ht="22.5" customHeight="1" x14ac:dyDescent="0.25">
      <c r="A27" s="8" t="s">
        <v>111</v>
      </c>
      <c r="B27" s="80">
        <v>5375.14</v>
      </c>
      <c r="C27" s="78">
        <v>3000</v>
      </c>
      <c r="D27" s="79">
        <f t="shared" si="1"/>
        <v>1.7917133333333335</v>
      </c>
      <c r="E27" s="68" t="b">
        <v>0</v>
      </c>
      <c r="F27" s="69"/>
    </row>
    <row r="28" spans="1:6" ht="22.5" customHeight="1" x14ac:dyDescent="0.25">
      <c r="A28" s="84" t="s">
        <v>35</v>
      </c>
      <c r="B28" s="85">
        <v>10847</v>
      </c>
      <c r="C28" s="86">
        <v>3000</v>
      </c>
      <c r="D28" s="67">
        <f t="shared" si="1"/>
        <v>3.6156666666666668</v>
      </c>
      <c r="E28" s="68" t="b">
        <v>0</v>
      </c>
      <c r="F28" s="69"/>
    </row>
    <row r="29" spans="1:6" ht="22.5" customHeight="1" x14ac:dyDescent="0.25">
      <c r="A29" s="87" t="s">
        <v>112</v>
      </c>
      <c r="B29" s="85">
        <v>5742.91</v>
      </c>
      <c r="C29" s="86">
        <v>1000</v>
      </c>
      <c r="D29" s="67">
        <f t="shared" si="1"/>
        <v>5.7429100000000002</v>
      </c>
      <c r="E29" s="68" t="b">
        <v>1</v>
      </c>
      <c r="F29" s="69"/>
    </row>
    <row r="30" spans="1:6" ht="22.5" customHeight="1" x14ac:dyDescent="0.25">
      <c r="A30" s="87" t="s">
        <v>37</v>
      </c>
      <c r="B30" s="85">
        <v>750</v>
      </c>
      <c r="C30" s="86">
        <v>1000</v>
      </c>
      <c r="D30" s="67">
        <f t="shared" si="1"/>
        <v>0.75</v>
      </c>
      <c r="E30" s="68" t="b">
        <v>1</v>
      </c>
      <c r="F30" s="69"/>
    </row>
    <row r="31" spans="1:6" ht="22.5" customHeight="1" x14ac:dyDescent="0.25">
      <c r="A31" s="87" t="s">
        <v>113</v>
      </c>
      <c r="B31" s="85">
        <v>3000</v>
      </c>
      <c r="C31" s="86">
        <v>1000</v>
      </c>
      <c r="D31" s="67">
        <f t="shared" si="1"/>
        <v>3</v>
      </c>
      <c r="E31" s="68" t="b">
        <v>1</v>
      </c>
      <c r="F31" s="69"/>
    </row>
    <row r="32" spans="1:6" ht="22.5" customHeight="1" x14ac:dyDescent="0.25">
      <c r="A32" s="87" t="s">
        <v>39</v>
      </c>
      <c r="B32" s="85">
        <v>3500</v>
      </c>
      <c r="C32" s="86">
        <v>1000</v>
      </c>
      <c r="D32" s="67">
        <f t="shared" si="1"/>
        <v>3.5</v>
      </c>
      <c r="E32" s="68" t="b">
        <v>1</v>
      </c>
      <c r="F32" s="69"/>
    </row>
    <row r="33" spans="1:6" ht="22.5" customHeight="1" x14ac:dyDescent="0.25">
      <c r="A33" s="87" t="s">
        <v>38</v>
      </c>
      <c r="B33" s="85">
        <v>5000</v>
      </c>
      <c r="C33" s="86">
        <v>1000</v>
      </c>
      <c r="D33" s="67">
        <f t="shared" si="1"/>
        <v>5</v>
      </c>
      <c r="E33" s="68" t="b">
        <v>1</v>
      </c>
      <c r="F33" s="69"/>
    </row>
    <row r="34" spans="1:6" ht="22.5" customHeight="1" x14ac:dyDescent="0.25">
      <c r="A34" s="88" t="s">
        <v>114</v>
      </c>
      <c r="B34" s="89">
        <v>14900</v>
      </c>
      <c r="C34" s="86">
        <v>1000</v>
      </c>
      <c r="D34" s="67">
        <f t="shared" si="1"/>
        <v>14.9</v>
      </c>
      <c r="E34" s="68" t="b">
        <v>1</v>
      </c>
      <c r="F34" s="69">
        <v>46058</v>
      </c>
    </row>
    <row r="35" spans="1:6" ht="22.5" customHeight="1" x14ac:dyDescent="0.25">
      <c r="A35" s="88" t="s">
        <v>115</v>
      </c>
      <c r="B35" s="89">
        <v>11500</v>
      </c>
      <c r="C35" s="86">
        <v>1000</v>
      </c>
      <c r="D35" s="67">
        <f t="shared" si="1"/>
        <v>11.5</v>
      </c>
      <c r="E35" s="68" t="b">
        <v>1</v>
      </c>
      <c r="F35" s="69">
        <v>46058</v>
      </c>
    </row>
    <row r="36" spans="1:6" ht="22.5" customHeight="1" x14ac:dyDescent="0.25">
      <c r="A36" s="88" t="s">
        <v>116</v>
      </c>
      <c r="B36" s="89">
        <v>1000</v>
      </c>
      <c r="C36" s="86">
        <v>1000</v>
      </c>
      <c r="D36" s="67">
        <f t="shared" si="1"/>
        <v>1</v>
      </c>
      <c r="E36" s="68" t="b">
        <v>1</v>
      </c>
      <c r="F36" s="69">
        <v>46058</v>
      </c>
    </row>
    <row r="37" spans="1:6" ht="22.5" customHeight="1" x14ac:dyDescent="0.25">
      <c r="A37" s="90" t="s">
        <v>117</v>
      </c>
      <c r="B37" s="89">
        <v>14300</v>
      </c>
      <c r="C37" s="86">
        <v>1000</v>
      </c>
      <c r="D37" s="67">
        <f t="shared" si="1"/>
        <v>14.3</v>
      </c>
      <c r="E37" s="68" t="b">
        <v>1</v>
      </c>
      <c r="F37" s="69">
        <v>46035</v>
      </c>
    </row>
    <row r="38" spans="1:6" ht="22.5" customHeight="1" x14ac:dyDescent="0.25">
      <c r="A38" s="90" t="s">
        <v>118</v>
      </c>
      <c r="B38" s="89">
        <v>11000</v>
      </c>
      <c r="C38" s="86">
        <v>1000</v>
      </c>
      <c r="D38" s="67">
        <f t="shared" si="1"/>
        <v>11</v>
      </c>
      <c r="E38" s="68" t="b">
        <v>1</v>
      </c>
      <c r="F38" s="69">
        <v>46035</v>
      </c>
    </row>
    <row r="39" spans="1:6" ht="22.5" customHeight="1" x14ac:dyDescent="0.25">
      <c r="A39" s="90" t="s">
        <v>119</v>
      </c>
      <c r="B39" s="89">
        <v>13200</v>
      </c>
      <c r="C39" s="86">
        <v>1000</v>
      </c>
      <c r="D39" s="67">
        <f t="shared" si="1"/>
        <v>13.2</v>
      </c>
      <c r="E39" s="68" t="b">
        <v>1</v>
      </c>
      <c r="F39" s="69">
        <v>46035</v>
      </c>
    </row>
    <row r="40" spans="1:6" ht="22.5" customHeight="1" x14ac:dyDescent="0.25">
      <c r="A40" s="91" t="s">
        <v>120</v>
      </c>
      <c r="B40" s="92"/>
      <c r="C40" s="93"/>
      <c r="D40" s="92"/>
      <c r="E40" s="94" t="b">
        <v>0</v>
      </c>
      <c r="F40" s="95"/>
    </row>
    <row r="41" spans="1:6" ht="22.5" customHeight="1" x14ac:dyDescent="0.25">
      <c r="A41" s="96" t="s">
        <v>79</v>
      </c>
      <c r="B41" s="77">
        <v>4548.6000000000004</v>
      </c>
      <c r="C41" s="97">
        <v>6</v>
      </c>
      <c r="D41" s="75">
        <f t="shared" ref="D41:D52" si="2">B41/C41</f>
        <v>758.1</v>
      </c>
      <c r="E41" s="68" t="b">
        <v>1</v>
      </c>
      <c r="F41" s="69">
        <v>46035</v>
      </c>
    </row>
    <row r="42" spans="1:6" ht="22.5" customHeight="1" x14ac:dyDescent="0.25">
      <c r="A42" s="8" t="s">
        <v>75</v>
      </c>
      <c r="B42" s="80">
        <v>4623.18</v>
      </c>
      <c r="C42" s="98">
        <v>6</v>
      </c>
      <c r="D42" s="79">
        <f t="shared" si="2"/>
        <v>770.53000000000009</v>
      </c>
      <c r="E42" s="68" t="b">
        <v>1</v>
      </c>
      <c r="F42" s="69">
        <v>46035</v>
      </c>
    </row>
    <row r="43" spans="1:6" ht="22.5" customHeight="1" x14ac:dyDescent="0.25">
      <c r="A43" s="8" t="s">
        <v>83</v>
      </c>
      <c r="B43" s="80">
        <v>4548.68</v>
      </c>
      <c r="C43" s="98">
        <v>6</v>
      </c>
      <c r="D43" s="79">
        <f t="shared" si="2"/>
        <v>758.11333333333334</v>
      </c>
      <c r="E43" s="68" t="b">
        <v>1</v>
      </c>
      <c r="F43" s="69">
        <v>46035</v>
      </c>
    </row>
    <row r="44" spans="1:6" ht="22.5" customHeight="1" x14ac:dyDescent="0.25">
      <c r="A44" s="81" t="s">
        <v>121</v>
      </c>
      <c r="B44" s="80">
        <f>(B43+B42+B41)/3</f>
        <v>4573.4866666666667</v>
      </c>
      <c r="C44" s="98">
        <v>6</v>
      </c>
      <c r="D44" s="79">
        <f t="shared" si="2"/>
        <v>762.24777777777774</v>
      </c>
      <c r="E44" s="68" t="b">
        <v>1</v>
      </c>
      <c r="F44" s="69">
        <v>46035</v>
      </c>
    </row>
    <row r="45" spans="1:6" ht="22.5" customHeight="1" x14ac:dyDescent="0.25">
      <c r="A45" s="81" t="s">
        <v>122</v>
      </c>
      <c r="B45" s="80">
        <f>(105300+215545+353295+110245+110245+245333.6)/6</f>
        <v>189993.93333333335</v>
      </c>
      <c r="C45" s="98">
        <v>50</v>
      </c>
      <c r="D45" s="79">
        <f t="shared" si="2"/>
        <v>3799.878666666667</v>
      </c>
      <c r="E45" s="68" t="b">
        <v>1</v>
      </c>
      <c r="F45" s="69"/>
    </row>
    <row r="46" spans="1:6" ht="22.5" customHeight="1" x14ac:dyDescent="0.25">
      <c r="A46" s="81" t="s">
        <v>123</v>
      </c>
      <c r="B46" s="80">
        <f>D45/2</f>
        <v>1899.9393333333335</v>
      </c>
      <c r="C46" s="98">
        <v>1</v>
      </c>
      <c r="D46" s="79">
        <f t="shared" si="2"/>
        <v>1899.9393333333335</v>
      </c>
      <c r="E46" s="68" t="b">
        <v>1</v>
      </c>
      <c r="F46" s="69"/>
    </row>
    <row r="47" spans="1:6" ht="22.5" customHeight="1" x14ac:dyDescent="0.25">
      <c r="A47" s="81" t="s">
        <v>124</v>
      </c>
      <c r="B47" s="80">
        <f>D45/4</f>
        <v>949.96966666666674</v>
      </c>
      <c r="C47" s="98">
        <v>1</v>
      </c>
      <c r="D47" s="79">
        <f t="shared" si="2"/>
        <v>949.96966666666674</v>
      </c>
      <c r="E47" s="68" t="b">
        <v>1</v>
      </c>
      <c r="F47" s="69"/>
    </row>
    <row r="48" spans="1:6" ht="22.5" customHeight="1" x14ac:dyDescent="0.25">
      <c r="A48" s="8" t="s">
        <v>77</v>
      </c>
      <c r="B48" s="80">
        <v>4548.68</v>
      </c>
      <c r="C48" s="98">
        <v>6</v>
      </c>
      <c r="D48" s="79">
        <f t="shared" si="2"/>
        <v>758.11333333333334</v>
      </c>
      <c r="E48" s="68" t="b">
        <v>1</v>
      </c>
      <c r="F48" s="69">
        <v>46035</v>
      </c>
    </row>
    <row r="49" spans="1:6" ht="22.5" customHeight="1" x14ac:dyDescent="0.25">
      <c r="A49" s="8" t="s">
        <v>90</v>
      </c>
      <c r="B49" s="80">
        <v>11047.97</v>
      </c>
      <c r="C49" s="98">
        <v>12</v>
      </c>
      <c r="D49" s="79">
        <f t="shared" si="2"/>
        <v>920.66416666666657</v>
      </c>
      <c r="E49" s="68" t="b">
        <v>1</v>
      </c>
      <c r="F49" s="69">
        <v>46035</v>
      </c>
    </row>
    <row r="50" spans="1:6" ht="24.75" customHeight="1" x14ac:dyDescent="0.25">
      <c r="A50" s="8" t="s">
        <v>94</v>
      </c>
      <c r="B50" s="80">
        <v>4304.25</v>
      </c>
      <c r="C50" s="98">
        <v>6</v>
      </c>
      <c r="D50" s="79">
        <f t="shared" si="2"/>
        <v>717.375</v>
      </c>
      <c r="E50" s="68" t="b">
        <v>1</v>
      </c>
      <c r="F50" s="69">
        <v>46035</v>
      </c>
    </row>
    <row r="51" spans="1:6" ht="22.5" customHeight="1" x14ac:dyDescent="0.25">
      <c r="A51" s="8" t="s">
        <v>125</v>
      </c>
      <c r="B51" s="80">
        <v>4304.25</v>
      </c>
      <c r="C51" s="98">
        <v>6</v>
      </c>
      <c r="D51" s="79">
        <f t="shared" si="2"/>
        <v>717.375</v>
      </c>
      <c r="E51" s="68" t="b">
        <v>1</v>
      </c>
      <c r="F51" s="69">
        <v>46035</v>
      </c>
    </row>
    <row r="52" spans="1:6" ht="22.5" customHeight="1" x14ac:dyDescent="0.25">
      <c r="A52" s="84" t="s">
        <v>88</v>
      </c>
      <c r="B52" s="85">
        <v>4304.1499999999996</v>
      </c>
      <c r="C52" s="99">
        <v>6</v>
      </c>
      <c r="D52" s="67">
        <f t="shared" si="2"/>
        <v>717.35833333333323</v>
      </c>
      <c r="E52" s="68" t="b">
        <v>1</v>
      </c>
      <c r="F52" s="69">
        <v>46035</v>
      </c>
    </row>
    <row r="53" spans="1:6" ht="22.5" customHeight="1" x14ac:dyDescent="0.25">
      <c r="A53" s="91" t="s">
        <v>126</v>
      </c>
      <c r="B53" s="92"/>
      <c r="C53" s="93"/>
      <c r="D53" s="92"/>
      <c r="E53" s="94"/>
      <c r="F53" s="95"/>
    </row>
    <row r="54" spans="1:6" ht="21" customHeight="1" x14ac:dyDescent="0.25">
      <c r="A54" s="8" t="s">
        <v>127</v>
      </c>
      <c r="B54" s="80">
        <v>90900</v>
      </c>
      <c r="C54" s="98">
        <v>700</v>
      </c>
      <c r="D54" s="79">
        <f t="shared" ref="D54:D64" si="3">B54/C54</f>
        <v>129.85714285714286</v>
      </c>
      <c r="E54" s="68" t="b">
        <v>1</v>
      </c>
      <c r="F54" s="69"/>
    </row>
    <row r="55" spans="1:6" ht="22.5" customHeight="1" x14ac:dyDescent="0.25">
      <c r="A55" s="8" t="s">
        <v>128</v>
      </c>
      <c r="B55" s="80">
        <v>15517</v>
      </c>
      <c r="C55" s="98">
        <v>240</v>
      </c>
      <c r="D55" s="79">
        <f t="shared" si="3"/>
        <v>64.654166666666669</v>
      </c>
      <c r="E55" s="68" t="b">
        <v>1</v>
      </c>
      <c r="F55" s="69"/>
    </row>
    <row r="56" spans="1:6" ht="22.5" customHeight="1" x14ac:dyDescent="0.25">
      <c r="A56" s="81" t="s">
        <v>16</v>
      </c>
      <c r="B56" s="80">
        <v>836000</v>
      </c>
      <c r="C56" s="98">
        <v>12480</v>
      </c>
      <c r="D56" s="79">
        <f t="shared" si="3"/>
        <v>66.987179487179489</v>
      </c>
      <c r="E56" s="68" t="b">
        <v>1</v>
      </c>
      <c r="F56" s="69"/>
    </row>
    <row r="57" spans="1:6" ht="22.5" customHeight="1" x14ac:dyDescent="0.25">
      <c r="A57" s="81" t="s">
        <v>17</v>
      </c>
      <c r="B57" s="80">
        <v>790000</v>
      </c>
      <c r="C57" s="98">
        <v>22000</v>
      </c>
      <c r="D57" s="79">
        <f t="shared" si="3"/>
        <v>35.909090909090907</v>
      </c>
      <c r="E57" s="68" t="b">
        <v>1</v>
      </c>
      <c r="F57" s="69"/>
    </row>
    <row r="58" spans="1:6" ht="22.5" customHeight="1" x14ac:dyDescent="0.25">
      <c r="A58" s="81" t="s">
        <v>92</v>
      </c>
      <c r="B58" s="80">
        <v>41400</v>
      </c>
      <c r="C58" s="98">
        <v>50</v>
      </c>
      <c r="D58" s="79">
        <f t="shared" si="3"/>
        <v>828</v>
      </c>
      <c r="E58" s="68" t="b">
        <v>1</v>
      </c>
      <c r="F58" s="69"/>
    </row>
    <row r="59" spans="1:6" ht="22.5" customHeight="1" x14ac:dyDescent="0.25">
      <c r="A59" s="81" t="s">
        <v>129</v>
      </c>
      <c r="B59" s="80">
        <v>390</v>
      </c>
      <c r="C59" s="98">
        <v>1</v>
      </c>
      <c r="D59" s="79">
        <f t="shared" si="3"/>
        <v>390</v>
      </c>
      <c r="E59" s="68" t="b">
        <v>1</v>
      </c>
      <c r="F59" s="69">
        <v>46045</v>
      </c>
    </row>
    <row r="60" spans="1:6" ht="22.5" customHeight="1" x14ac:dyDescent="0.25">
      <c r="A60" s="81" t="s">
        <v>25</v>
      </c>
      <c r="B60" s="80">
        <v>250</v>
      </c>
      <c r="C60" s="98">
        <v>1</v>
      </c>
      <c r="D60" s="79">
        <f t="shared" si="3"/>
        <v>250</v>
      </c>
      <c r="E60" s="68" t="b">
        <v>1</v>
      </c>
      <c r="F60" s="69">
        <v>46045</v>
      </c>
    </row>
    <row r="61" spans="1:6" ht="22.5" customHeight="1" x14ac:dyDescent="0.25">
      <c r="A61" s="81" t="s">
        <v>26</v>
      </c>
      <c r="B61" s="80">
        <v>250</v>
      </c>
      <c r="C61" s="98">
        <v>1</v>
      </c>
      <c r="D61" s="79">
        <f t="shared" si="3"/>
        <v>250</v>
      </c>
      <c r="E61" s="68" t="b">
        <v>1</v>
      </c>
      <c r="F61" s="69">
        <v>46045</v>
      </c>
    </row>
    <row r="62" spans="1:6" ht="22.5" customHeight="1" x14ac:dyDescent="0.25">
      <c r="A62" s="81" t="s">
        <v>65</v>
      </c>
      <c r="B62" s="80">
        <v>78642</v>
      </c>
      <c r="C62" s="98">
        <v>160</v>
      </c>
      <c r="D62" s="79">
        <f t="shared" si="3"/>
        <v>491.51249999999999</v>
      </c>
      <c r="E62" s="68" t="b">
        <v>1</v>
      </c>
      <c r="F62" s="69"/>
    </row>
    <row r="63" spans="1:6" ht="22.5" customHeight="1" x14ac:dyDescent="0.25">
      <c r="A63" s="8" t="s">
        <v>18</v>
      </c>
      <c r="B63" s="80">
        <v>10340.4</v>
      </c>
      <c r="C63" s="98">
        <v>100</v>
      </c>
      <c r="D63" s="79">
        <f t="shared" si="3"/>
        <v>103.404</v>
      </c>
      <c r="E63" s="68" t="b">
        <v>0</v>
      </c>
      <c r="F63" s="69"/>
    </row>
    <row r="64" spans="1:6" ht="22.5" customHeight="1" x14ac:dyDescent="0.25">
      <c r="A64" s="8" t="s">
        <v>20</v>
      </c>
      <c r="B64" s="80">
        <v>24625</v>
      </c>
      <c r="C64" s="98">
        <v>1000</v>
      </c>
      <c r="D64" s="79">
        <f t="shared" si="3"/>
        <v>24.625</v>
      </c>
      <c r="E64" s="68" t="b">
        <v>0</v>
      </c>
      <c r="F64" s="69"/>
    </row>
    <row r="65" spans="1:6" ht="22.5" customHeight="1" x14ac:dyDescent="0.25">
      <c r="A65" s="48"/>
      <c r="B65" s="50"/>
      <c r="C65" s="49"/>
      <c r="D65" s="50"/>
      <c r="E65" s="100" t="b">
        <v>0</v>
      </c>
      <c r="F65" s="101"/>
    </row>
  </sheetData>
  <dataValidations count="2">
    <dataValidation type="custom" allowBlank="1" showDropDown="1" sqref="F3:F65" xr:uid="{00000000-0002-0000-0100-000000000000}">
      <formula1>OR(NOT(ISERROR(DATEVALUE(F3))), AND(ISNUMBER(F3), LEFT(CELL("format", F3))="D"))</formula1>
    </dataValidation>
    <dataValidation allowBlank="1" showDropDown="1" sqref="A3:A65" xr:uid="{00000000-0002-0000-0100-000001000000}"/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4"/>
  <sheetViews>
    <sheetView showGridLines="0" workbookViewId="0"/>
  </sheetViews>
  <sheetFormatPr baseColWidth="10" defaultColWidth="12.6640625" defaultRowHeight="15.75" customHeight="1" x14ac:dyDescent="0.25"/>
  <cols>
    <col min="1" max="1" width="42.88671875" customWidth="1"/>
    <col min="2" max="2" width="11.44140625" customWidth="1"/>
    <col min="3" max="3" width="17.21875" customWidth="1"/>
    <col min="4" max="4" width="14.109375" customWidth="1"/>
    <col min="5" max="5" width="14.77734375" customWidth="1"/>
    <col min="6" max="6" width="17" customWidth="1"/>
    <col min="7" max="7" width="29.109375" customWidth="1"/>
  </cols>
  <sheetData>
    <row r="1" spans="1:7" ht="22.5" customHeight="1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02" t="s">
        <v>5</v>
      </c>
      <c r="F1" s="102" t="s">
        <v>134</v>
      </c>
      <c r="G1" s="103"/>
    </row>
    <row r="2" spans="1:7" ht="22.5" customHeight="1" x14ac:dyDescent="0.25">
      <c r="A2" s="104" t="s">
        <v>135</v>
      </c>
      <c r="B2" s="104">
        <v>15</v>
      </c>
      <c r="C2" s="104" t="str">
        <f>PROPER(TEXT(DATE(2026, 2, B2), "dddd"))</f>
        <v>Domingo</v>
      </c>
      <c r="D2" s="104"/>
      <c r="E2" s="104" t="s">
        <v>136</v>
      </c>
      <c r="F2" s="104" t="s">
        <v>137</v>
      </c>
      <c r="G2" s="103"/>
    </row>
    <row r="3" spans="1:7" ht="22.5" customHeight="1" x14ac:dyDescent="0.25">
      <c r="A3" s="105" t="str">
        <f ca="1">IFERROR(__xludf.DUMMYFUNCTION("QUERY({IMPORTRANGE(""1gFO4fFAF8uaSQckGNdL2ULC0kQjiaTn7HExgq5kTGAk"",""VENTAS""&amp;B2&amp;""!B2:C101"");IMPORTRANGE(""1gFO4fFAF8uaSQckGNdL2ULC0kQjiaTn7HExgq5kTGAk"",""VENTAS""&amp;B2&amp;""!F2:G101"")},""Select Col1, sum(Col2) where Col1 is not null group by Col1 label s"&amp;"um(Col2) 'Total'"",0)"),"")</f>
        <v/>
      </c>
      <c r="B3" s="106" t="str">
        <f ca="1">IFERROR(__xludf.DUMMYFUNCTION("""COMPUTED_VALUE"""),"Total")</f>
        <v>Total</v>
      </c>
      <c r="C3" s="105"/>
      <c r="D3" s="105"/>
      <c r="E3" s="105"/>
      <c r="F3" s="105"/>
      <c r="G3" s="103"/>
    </row>
    <row r="4" spans="1:7" ht="22.5" customHeight="1" x14ac:dyDescent="0.25">
      <c r="A4" s="107" t="str">
        <f ca="1">IFERROR(__xludf.DUMMYFUNCTION("""COMPUTED_VALUE"""),"AGUA MANZANA H20")</f>
        <v>AGUA MANZANA H20</v>
      </c>
      <c r="B4" s="107">
        <f ca="1">IFERROR(__xludf.DUMMYFUNCTION("""COMPUTED_VALUE"""),1)</f>
        <v>1</v>
      </c>
      <c r="C4" s="108">
        <f ca="1">IFERROR(__xludf.DUMMYFUNCTION("INDEX(RECETAS!E:E, MAX(FILTER(ROW(RECETAS!A:A), RECETAS!A:A=A4)) + 1)"),717.358333333333)</f>
        <v>717.35833333333301</v>
      </c>
      <c r="D4" s="108">
        <f t="shared" ref="D4:D32" ca="1" si="0">C4*B4</f>
        <v>717.35833333333301</v>
      </c>
      <c r="E4" s="108">
        <f ca="1">IFERROR(__xludf.DUMMYFUNCTION("IFNA(FILTER('Febrero 2026'!C3:D34, 'Febrero 2026'!B3:B34 = B2), ""Fecha no encontrada"")"),288800)</f>
        <v>288800</v>
      </c>
      <c r="F4" s="108">
        <f ca="1">IFERROR(__xludf.DUMMYFUNCTION("""COMPUTED_VALUE"""),315500)</f>
        <v>315500</v>
      </c>
      <c r="G4" s="103"/>
    </row>
    <row r="5" spans="1:7" ht="22.5" customHeight="1" x14ac:dyDescent="0.25">
      <c r="A5" s="107" t="str">
        <f ca="1">IFERROR(__xludf.DUMMYFUNCTION("""COMPUTED_VALUE"""),"AGUA MINERAL")</f>
        <v>AGUA MINERAL</v>
      </c>
      <c r="B5" s="107">
        <f ca="1">IFERROR(__xludf.DUMMYFUNCTION("""COMPUTED_VALUE"""),4)</f>
        <v>4</v>
      </c>
      <c r="C5" s="108">
        <f ca="1">IFERROR(__xludf.DUMMYFUNCTION("INDEX(RECETAS!E:E, MAX(FILTER(ROW(RECETAS!A:A), RECETAS!A:A=A5)) + 1)"),920.664166666666)</f>
        <v>920.66416666666601</v>
      </c>
      <c r="D5" s="108">
        <f t="shared" ca="1" si="0"/>
        <v>3682.656666666664</v>
      </c>
      <c r="E5" s="108"/>
      <c r="F5" s="108"/>
      <c r="G5" s="103"/>
    </row>
    <row r="6" spans="1:7" ht="22.5" customHeight="1" x14ac:dyDescent="0.25">
      <c r="A6" s="107" t="str">
        <f ca="1">IFERROR(__xludf.DUMMYFUNCTION("""COMPUTED_VALUE"""),"AGUA POMELO H20")</f>
        <v>AGUA POMELO H20</v>
      </c>
      <c r="B6" s="107">
        <f ca="1">IFERROR(__xludf.DUMMYFUNCTION("""COMPUTED_VALUE"""),1)</f>
        <v>1</v>
      </c>
      <c r="C6" s="108">
        <f ca="1">IFERROR(__xludf.DUMMYFUNCTION("INDEX(RECETAS!E:E, MAX(FILTER(ROW(RECETAS!A:A), RECETAS!A:A=A6)) + 1)"),717.375)</f>
        <v>717.375</v>
      </c>
      <c r="D6" s="108">
        <f t="shared" ca="1" si="0"/>
        <v>717.375</v>
      </c>
      <c r="E6" s="108"/>
      <c r="F6" s="108"/>
      <c r="G6" s="103"/>
    </row>
    <row r="7" spans="1:7" ht="22.5" customHeight="1" x14ac:dyDescent="0.25">
      <c r="A7" s="107" t="str">
        <f ca="1">IFERROR(__xludf.DUMMYFUNCTION("""COMPUTED_VALUE"""),"AMERICAN BURGER")</f>
        <v>AMERICAN BURGER</v>
      </c>
      <c r="B7" s="107">
        <f ca="1">IFERROR(__xludf.DUMMYFUNCTION("""COMPUTED_VALUE"""),3)</f>
        <v>3</v>
      </c>
      <c r="C7" s="108">
        <f ca="1">IFERROR(__xludf.DUMMYFUNCTION("INDEX(RECETAS!E:E, MAX(FILTER(ROW(RECETAS!A:A), RECETAS!A:A=A7)) + 1)"),5886.03157939627)</f>
        <v>5886.03157939627</v>
      </c>
      <c r="D7" s="108">
        <f t="shared" ca="1" si="0"/>
        <v>17658.094738188811</v>
      </c>
      <c r="E7" s="108"/>
      <c r="F7" s="108"/>
      <c r="G7" s="103"/>
    </row>
    <row r="8" spans="1:7" ht="22.5" customHeight="1" x14ac:dyDescent="0.25">
      <c r="A8" s="107" t="str">
        <f ca="1">IFERROR(__xludf.DUMMYFUNCTION("""COMPUTED_VALUE"""),"BLUE CHEESE")</f>
        <v>BLUE CHEESE</v>
      </c>
      <c r="B8" s="107">
        <f ca="1">IFERROR(__xludf.DUMMYFUNCTION("""COMPUTED_VALUE"""),1)</f>
        <v>1</v>
      </c>
      <c r="C8" s="108">
        <f ca="1">IFERROR(__xludf.DUMMYFUNCTION("INDEX(RECETAS!E:E, MAX(FILTER(ROW(RECETAS!A:A), RECETAS!A:A=A8)) + 1)"),5298.53157939627)</f>
        <v>5298.53157939627</v>
      </c>
      <c r="D8" s="108">
        <f t="shared" ca="1" si="0"/>
        <v>5298.53157939627</v>
      </c>
      <c r="E8" s="108"/>
      <c r="F8" s="108"/>
      <c r="G8" s="103"/>
    </row>
    <row r="9" spans="1:7" ht="22.5" customHeight="1" x14ac:dyDescent="0.25">
      <c r="A9" s="107" t="str">
        <f ca="1">IFERROR(__xludf.DUMMYFUNCTION("""COMPUTED_VALUE"""),"CHEESE BACON")</f>
        <v>CHEESE BACON</v>
      </c>
      <c r="B9" s="107">
        <f ca="1">IFERROR(__xludf.DUMMYFUNCTION("""COMPUTED_VALUE"""),10)</f>
        <v>10</v>
      </c>
      <c r="C9" s="108">
        <f ca="1">IFERROR(__xludf.DUMMYFUNCTION("INDEX(RECETAS!E:E, MAX(FILTER(ROW(RECETAS!A:A), RECETAS!A:A=A9)) + 1)"),5183.03047939627)</f>
        <v>5183.0304793962696</v>
      </c>
      <c r="D9" s="108">
        <f t="shared" ca="1" si="0"/>
        <v>51830.304793962699</v>
      </c>
      <c r="E9" s="108"/>
      <c r="F9" s="108"/>
      <c r="G9" s="103"/>
    </row>
    <row r="10" spans="1:7" ht="22.5" customHeight="1" x14ac:dyDescent="0.25">
      <c r="A10" s="107" t="str">
        <f ca="1">IFERROR(__xludf.DUMMYFUNCTION("""COMPUTED_VALUE"""),"DOBLE CUARTO")</f>
        <v>DOBLE CUARTO</v>
      </c>
      <c r="B10" s="107">
        <f ca="1">IFERROR(__xludf.DUMMYFUNCTION("""COMPUTED_VALUE"""),1)</f>
        <v>1</v>
      </c>
      <c r="C10" s="108">
        <f ca="1">IFERROR(__xludf.DUMMYFUNCTION("INDEX(RECETAS!E:E, MAX(FILTER(ROW(RECETAS!A:A), RECETAS!A:A=A10)) + 1)"),5326.66684303263)</f>
        <v>5326.6668430326299</v>
      </c>
      <c r="D10" s="108">
        <f t="shared" ca="1" si="0"/>
        <v>5326.6668430326299</v>
      </c>
      <c r="E10" s="108"/>
      <c r="F10" s="108"/>
      <c r="G10" s="103"/>
    </row>
    <row r="11" spans="1:7" ht="22.5" customHeight="1" x14ac:dyDescent="0.25">
      <c r="A11" s="107" t="str">
        <f ca="1">IFERROR(__xludf.DUMMYFUNCTION("""COMPUTED_VALUE"""),"EXTRA MEDALLON")</f>
        <v>EXTRA MEDALLON</v>
      </c>
      <c r="B11" s="107">
        <f ca="1">IFERROR(__xludf.DUMMYFUNCTION("""COMPUTED_VALUE"""),3)</f>
        <v>3</v>
      </c>
      <c r="C11" s="108">
        <f ca="1">IFERROR(__xludf.DUMMYFUNCTION("INDEX(RECETAS!E:E, MAX(FILTER(ROW(RECETAS!A:A), RECETAS!A:A=A11)) + 1)"),1421.75)</f>
        <v>1421.75</v>
      </c>
      <c r="D11" s="108">
        <f t="shared" ca="1" si="0"/>
        <v>4265.25</v>
      </c>
      <c r="E11" s="108"/>
      <c r="F11" s="108"/>
      <c r="G11" s="103"/>
    </row>
    <row r="12" spans="1:7" ht="22.5" customHeight="1" x14ac:dyDescent="0.25">
      <c r="A12" s="107" t="str">
        <f ca="1">IFERROR(__xludf.DUMMYFUNCTION("""COMPUTED_VALUE"""),"HUMPTY BURGER")</f>
        <v>HUMPTY BURGER</v>
      </c>
      <c r="B12" s="107">
        <f ca="1">IFERROR(__xludf.DUMMYFUNCTION("""COMPUTED_VALUE"""),6)</f>
        <v>6</v>
      </c>
      <c r="C12" s="108">
        <f ca="1">IFERROR(__xludf.DUMMYFUNCTION("INDEX(RECETAS!E:E, MAX(FILTER(ROW(RECETAS!A:A), RECETAS!A:A=A12)) + 1)"),5409.69714606293)</f>
        <v>5409.6971460629302</v>
      </c>
      <c r="D12" s="108">
        <f t="shared" ca="1" si="0"/>
        <v>32458.182876377581</v>
      </c>
      <c r="E12" s="108"/>
      <c r="F12" s="108"/>
      <c r="G12" s="103"/>
    </row>
    <row r="13" spans="1:7" ht="22.5" customHeight="1" x14ac:dyDescent="0.25">
      <c r="A13" s="107" t="str">
        <f ca="1">IFERROR(__xludf.DUMMYFUNCTION("""COMPUTED_VALUE"""),"JIMMY BURGER")</f>
        <v>JIMMY BURGER</v>
      </c>
      <c r="B13" s="107">
        <f ca="1">IFERROR(__xludf.DUMMYFUNCTION("""COMPUTED_VALUE"""),1)</f>
        <v>1</v>
      </c>
      <c r="C13" s="108">
        <f ca="1">IFERROR(__xludf.DUMMYFUNCTION("INDEX(RECETAS!E:E, MAX(FILTER(ROW(RECETAS!A:A), RECETAS!A:A=A13)) + 1)"),3923.49054884071)</f>
        <v>3923.4905488407098</v>
      </c>
      <c r="D13" s="108">
        <f t="shared" ca="1" si="0"/>
        <v>3923.4905488407098</v>
      </c>
      <c r="E13" s="108"/>
      <c r="F13" s="108"/>
      <c r="G13" s="103"/>
    </row>
    <row r="14" spans="1:7" ht="22.5" customHeight="1" x14ac:dyDescent="0.25">
      <c r="A14" s="107" t="str">
        <f ca="1">IFERROR(__xludf.DUMMYFUNCTION("""COMPUTED_VALUE"""),"MIGI BURGER")</f>
        <v>MIGI BURGER</v>
      </c>
      <c r="B14" s="107">
        <f ca="1">IFERROR(__xludf.DUMMYFUNCTION("""COMPUTED_VALUE"""),2)</f>
        <v>2</v>
      </c>
      <c r="C14" s="108">
        <f ca="1">IFERROR(__xludf.DUMMYFUNCTION("INDEX(RECETAS!E:E, MAX(FILTER(ROW(RECETAS!A:A), RECETAS!A:A=A14)) + 1)"),4209.03157939627)</f>
        <v>4209.03157939627</v>
      </c>
      <c r="D14" s="108">
        <f t="shared" ca="1" si="0"/>
        <v>8418.06315879254</v>
      </c>
      <c r="E14" s="108"/>
      <c r="F14" s="108"/>
      <c r="G14" s="103"/>
    </row>
    <row r="15" spans="1:7" ht="22.5" customHeight="1" x14ac:dyDescent="0.25">
      <c r="A15" s="107" t="str">
        <f ca="1">IFERROR(__xludf.DUMMYFUNCTION("""COMPUTED_VALUE"""),"MIRINDA")</f>
        <v>MIRINDA</v>
      </c>
      <c r="B15" s="107">
        <f ca="1">IFERROR(__xludf.DUMMYFUNCTION("""COMPUTED_VALUE"""),1)</f>
        <v>1</v>
      </c>
      <c r="C15" s="108">
        <f ca="1">IFERROR(__xludf.DUMMYFUNCTION("INDEX(RECETAS!E:E, MAX(FILTER(ROW(RECETAS!A:A), RECETAS!A:A=A15)) + 1)"),758.113333333333)</f>
        <v>758.113333333333</v>
      </c>
      <c r="D15" s="108">
        <f t="shared" ca="1" si="0"/>
        <v>758.113333333333</v>
      </c>
      <c r="E15" s="108"/>
      <c r="F15" s="108"/>
      <c r="G15" s="103"/>
    </row>
    <row r="16" spans="1:7" ht="22.5" customHeight="1" x14ac:dyDescent="0.25">
      <c r="A16" s="107" t="str">
        <f ca="1">IFERROR(__xludf.DUMMYFUNCTION("""COMPUTED_VALUE"""),"MOBY DICK")</f>
        <v>MOBY DICK</v>
      </c>
      <c r="B16" s="107">
        <f ca="1">IFERROR(__xludf.DUMMYFUNCTION("""COMPUTED_VALUE"""),1)</f>
        <v>1</v>
      </c>
      <c r="C16" s="108">
        <f ca="1">IFERROR(__xludf.DUMMYFUNCTION("INDEX(RECETAS!E:E, MAX(FILTER(ROW(RECETAS!A:A), RECETAS!A:A=A16)) + 1)"),8562.10924050738)</f>
        <v>8562.1092405073796</v>
      </c>
      <c r="D16" s="108">
        <f t="shared" ca="1" si="0"/>
        <v>8562.1092405073796</v>
      </c>
      <c r="E16" s="108"/>
      <c r="F16" s="108"/>
      <c r="G16" s="103"/>
    </row>
    <row r="17" spans="1:7" ht="22.5" customHeight="1" x14ac:dyDescent="0.25">
      <c r="A17" s="107" t="str">
        <f ca="1">IFERROR(__xludf.DUMMYFUNCTION("""COMPUTED_VALUE"""),"NUGGETS X 6")</f>
        <v>NUGGETS X 6</v>
      </c>
      <c r="B17" s="107">
        <f ca="1">IFERROR(__xludf.DUMMYFUNCTION("""COMPUTED_VALUE"""),1)</f>
        <v>1</v>
      </c>
      <c r="C17" s="108">
        <f ca="1">IFERROR(__xludf.DUMMYFUNCTION("INDEX(RECETAS!E:E, MAX(FILTER(ROW(RECETAS!A:A), RECETAS!A:A=A17)) + 1)"),1680.52117948717)</f>
        <v>1680.52117948717</v>
      </c>
      <c r="D17" s="108">
        <f t="shared" ca="1" si="0"/>
        <v>1680.52117948717</v>
      </c>
      <c r="E17" s="108"/>
      <c r="F17" s="108"/>
      <c r="G17" s="103"/>
    </row>
    <row r="18" spans="1:7" ht="22.5" customHeight="1" x14ac:dyDescent="0.25">
      <c r="A18" s="107" t="str">
        <f ca="1">IFERROR(__xludf.DUMMYFUNCTION("""COMPUTED_VALUE"""),"ONION RINGS BURGER")</f>
        <v>ONION RINGS BURGER</v>
      </c>
      <c r="B18" s="107">
        <f ca="1">IFERROR(__xludf.DUMMYFUNCTION("""COMPUTED_VALUE"""),2)</f>
        <v>2</v>
      </c>
      <c r="C18" s="108">
        <f ca="1">IFERROR(__xludf.DUMMYFUNCTION("INDEX(RECETAS!E:E, MAX(FILTER(ROW(RECETAS!A:A), RECETAS!A:A=A18)) + 1)"),5660.1693127296)</f>
        <v>5660.1693127296003</v>
      </c>
      <c r="D18" s="108">
        <f t="shared" ca="1" si="0"/>
        <v>11320.338625459201</v>
      </c>
      <c r="E18" s="108"/>
      <c r="F18" s="108"/>
      <c r="G18" s="103"/>
    </row>
    <row r="19" spans="1:7" ht="22.5" customHeight="1" x14ac:dyDescent="0.25">
      <c r="A19" s="107" t="str">
        <f ca="1">IFERROR(__xludf.DUMMYFUNCTION("""COMPUTED_VALUE"""),"PEPSI  ")</f>
        <v xml:space="preserve">PEPSI  </v>
      </c>
      <c r="B19" s="107">
        <f ca="1">IFERROR(__xludf.DUMMYFUNCTION("""COMPUTED_VALUE"""),3)</f>
        <v>3</v>
      </c>
      <c r="C19" s="108">
        <f ca="1">IFERROR(__xludf.DUMMYFUNCTION("INDEX(RECETAS!E:E, MAX(FILTER(ROW(RECETAS!A:A), RECETAS!A:A=A19)) + 1)"),770.53)</f>
        <v>770.53</v>
      </c>
      <c r="D19" s="108">
        <f t="shared" ca="1" si="0"/>
        <v>2311.59</v>
      </c>
      <c r="E19" s="108"/>
      <c r="F19" s="108"/>
      <c r="G19" s="103"/>
    </row>
    <row r="20" spans="1:7" ht="22.5" customHeight="1" x14ac:dyDescent="0.25">
      <c r="A20" s="107" t="str">
        <f ca="1">IFERROR(__xludf.DUMMYFUNCTION("""COMPUTED_VALUE"""),"PORCION DE PAPAS")</f>
        <v>PORCION DE PAPAS</v>
      </c>
      <c r="B20" s="107">
        <f ca="1">IFERROR(__xludf.DUMMYFUNCTION("""COMPUTED_VALUE"""),1)</f>
        <v>1</v>
      </c>
      <c r="C20" s="108">
        <f ca="1">IFERROR(__xludf.DUMMYFUNCTION("INDEX(RECETAS!E:E, MAX(FILTER(ROW(RECETAS!A:A), RECETAS!A:A=A20)) + 1)"),2292.92034615384)</f>
        <v>2292.92034615384</v>
      </c>
      <c r="D20" s="108">
        <f t="shared" ca="1" si="0"/>
        <v>2292.92034615384</v>
      </c>
      <c r="E20" s="108"/>
      <c r="F20" s="108"/>
      <c r="G20" s="103"/>
    </row>
    <row r="21" spans="1:7" ht="22.5" customHeight="1" x14ac:dyDescent="0.25">
      <c r="A21" s="107" t="str">
        <f ca="1">IFERROR(__xludf.DUMMYFUNCTION("""COMPUTED_VALUE"""),"PULLED PORK")</f>
        <v>PULLED PORK</v>
      </c>
      <c r="B21" s="107">
        <f ca="1">IFERROR(__xludf.DUMMYFUNCTION("""COMPUTED_VALUE"""),2)</f>
        <v>2</v>
      </c>
      <c r="C21" s="108">
        <f ca="1">IFERROR(__xludf.DUMMYFUNCTION("INDEX(RECETAS!E:E, MAX(FILTER(ROW(RECETAS!A:A), RECETAS!A:A=A21)) + 1)"),2652.60312106293)</f>
        <v>2652.6031210629299</v>
      </c>
      <c r="D21" s="108">
        <f t="shared" ca="1" si="0"/>
        <v>5305.2062421258597</v>
      </c>
      <c r="E21" s="108"/>
      <c r="F21" s="108"/>
      <c r="G21" s="103"/>
    </row>
    <row r="22" spans="1:7" ht="22.5" customHeight="1" x14ac:dyDescent="0.25">
      <c r="A22" s="107" t="str">
        <f ca="1">IFERROR(__xludf.DUMMYFUNCTION("""COMPUTED_VALUE"""),"SEVEN-UP")</f>
        <v>SEVEN-UP</v>
      </c>
      <c r="B22" s="107">
        <f ca="1">IFERROR(__xludf.DUMMYFUNCTION("""COMPUTED_VALUE"""),5)</f>
        <v>5</v>
      </c>
      <c r="C22" s="108">
        <f ca="1">IFERROR(__xludf.DUMMYFUNCTION("INDEX(RECETAS!E:E, MAX(FILTER(ROW(RECETAS!A:A), RECETAS!A:A=A22)) + 1)"),758.113333333333)</f>
        <v>758.113333333333</v>
      </c>
      <c r="D22" s="108">
        <f t="shared" ca="1" si="0"/>
        <v>3790.5666666666648</v>
      </c>
      <c r="E22" s="108"/>
      <c r="F22" s="108"/>
      <c r="G22" s="103"/>
    </row>
    <row r="23" spans="1:7" ht="22.5" customHeight="1" x14ac:dyDescent="0.25">
      <c r="A23" s="107" t="str">
        <f ca="1">IFERROR(__xludf.DUMMYFUNCTION("""COMPUTED_VALUE"""),"SWEET BACON BURGER")</f>
        <v>SWEET BACON BURGER</v>
      </c>
      <c r="B23" s="107">
        <f ca="1">IFERROR(__xludf.DUMMYFUNCTION("""COMPUTED_VALUE"""),1)</f>
        <v>1</v>
      </c>
      <c r="C23" s="108">
        <f ca="1">IFERROR(__xludf.DUMMYFUNCTION("INDEX(RECETAS!E:E, MAX(FILTER(ROW(RECETAS!A:A), RECETAS!A:A=A23)) + 1)"),5148.53157939627)</f>
        <v>5148.53157939627</v>
      </c>
      <c r="D23" s="108">
        <f t="shared" ca="1" si="0"/>
        <v>5148.53157939627</v>
      </c>
      <c r="E23" s="108"/>
      <c r="F23" s="108"/>
      <c r="G23" s="103"/>
    </row>
    <row r="24" spans="1:7" ht="22.5" customHeight="1" x14ac:dyDescent="0.25">
      <c r="A24" s="107" t="str">
        <f ca="1">IFERROR(__xludf.DUMMYFUNCTION("""COMPUTED_VALUE"""),"SWEET ONION")</f>
        <v>SWEET ONION</v>
      </c>
      <c r="B24" s="107">
        <f ca="1">IFERROR(__xludf.DUMMYFUNCTION("""COMPUTED_VALUE"""),5)</f>
        <v>5</v>
      </c>
      <c r="C24" s="108">
        <f ca="1">IFERROR(__xludf.DUMMYFUNCTION("INDEX(RECETAS!E:E, MAX(FILTER(ROW(RECETAS!A:A), RECETAS!A:A=A24)) + 1)"),5183.03047939627)</f>
        <v>5183.0304793962696</v>
      </c>
      <c r="D24" s="108">
        <f t="shared" ca="1" si="0"/>
        <v>25915.15239698135</v>
      </c>
      <c r="E24" s="108"/>
      <c r="F24" s="108"/>
      <c r="G24" s="103"/>
    </row>
    <row r="25" spans="1:7" ht="22.5" customHeight="1" x14ac:dyDescent="0.25">
      <c r="A25" s="107" t="str">
        <f ca="1">IFERROR(__xludf.DUMMYFUNCTION("""COMPUTED_VALUE"""),"TASTY WLB")</f>
        <v>TASTY WLB</v>
      </c>
      <c r="B25" s="107">
        <f ca="1">IFERROR(__xludf.DUMMYFUNCTION("""COMPUTED_VALUE"""),1)</f>
        <v>1</v>
      </c>
      <c r="C25" s="108">
        <f ca="1">IFERROR(__xludf.DUMMYFUNCTION("INDEX(RECETAS!E:E, MAX(FILTER(ROW(RECETAS!A:A), RECETAS!A:A=A25)) + 1)"),5411.03157939627)</f>
        <v>5411.03157939627</v>
      </c>
      <c r="D25" s="108">
        <f t="shared" ca="1" si="0"/>
        <v>5411.03157939627</v>
      </c>
      <c r="E25" s="108"/>
      <c r="F25" s="108"/>
      <c r="G25" s="103"/>
    </row>
    <row r="26" spans="1:7" ht="22.5" customHeight="1" x14ac:dyDescent="0.25">
      <c r="A26" s="107" t="str">
        <f ca="1">IFERROR(__xludf.DUMMYFUNCTION("""COMPUTED_VALUE"""),"TRIPLE CHEESE BACON")</f>
        <v>TRIPLE CHEESE BACON</v>
      </c>
      <c r="B26" s="107">
        <f ca="1">IFERROR(__xludf.DUMMYFUNCTION("""COMPUTED_VALUE"""),1)</f>
        <v>1</v>
      </c>
      <c r="C26" s="108">
        <f ca="1">IFERROR(__xludf.DUMMYFUNCTION("INDEX(RECETAS!E:E, MAX(FILTER(ROW(RECETAS!A:A), RECETAS!A:A=A26)) + 1)"),6830.32040995182)</f>
        <v>6830.3204099518198</v>
      </c>
      <c r="D26" s="108">
        <f t="shared" ca="1" si="0"/>
        <v>6830.3204099518198</v>
      </c>
      <c r="E26" s="108"/>
      <c r="F26" s="108"/>
      <c r="G26" s="103"/>
    </row>
    <row r="27" spans="1:7" ht="22.5" customHeight="1" x14ac:dyDescent="0.25">
      <c r="A27" s="107"/>
      <c r="B27" s="107"/>
      <c r="C27" s="108" t="str">
        <f ca="1">IFERROR(__xludf.DUMMYFUNCTION("INDEX(RECETAS!E:E, MAX(FILTER(ROW(RECETAS!A:A), RECETAS!A:A=A27)) + 1)"),"")</f>
        <v/>
      </c>
      <c r="D27" s="108" t="e">
        <f t="shared" ca="1" si="0"/>
        <v>#VALUE!</v>
      </c>
      <c r="E27" s="108"/>
      <c r="F27" s="108"/>
      <c r="G27" s="103"/>
    </row>
    <row r="28" spans="1:7" ht="22.5" customHeight="1" x14ac:dyDescent="0.25">
      <c r="A28" s="107"/>
      <c r="B28" s="107"/>
      <c r="C28" s="108" t="str">
        <f ca="1">IFERROR(__xludf.DUMMYFUNCTION("INDEX(RECETAS!E:E, MAX(FILTER(ROW(RECETAS!A:A), RECETAS!A:A=A28)) + 1)"),"")</f>
        <v/>
      </c>
      <c r="D28" s="108" t="e">
        <f t="shared" ca="1" si="0"/>
        <v>#VALUE!</v>
      </c>
      <c r="E28" s="108"/>
      <c r="F28" s="108"/>
      <c r="G28" s="103"/>
    </row>
    <row r="29" spans="1:7" ht="22.5" customHeight="1" x14ac:dyDescent="0.25">
      <c r="A29" s="107"/>
      <c r="B29" s="107"/>
      <c r="C29" s="108" t="str">
        <f ca="1">IFERROR(__xludf.DUMMYFUNCTION("INDEX(RECETAS!E:E, MAX(FILTER(ROW(RECETAS!A:A), RECETAS!A:A=A29)) + 1)"),"")</f>
        <v/>
      </c>
      <c r="D29" s="108" t="e">
        <f t="shared" ca="1" si="0"/>
        <v>#VALUE!</v>
      </c>
      <c r="E29" s="108"/>
      <c r="F29" s="108"/>
      <c r="G29" s="103"/>
    </row>
    <row r="30" spans="1:7" ht="22.5" customHeight="1" x14ac:dyDescent="0.25">
      <c r="A30" s="107"/>
      <c r="B30" s="107"/>
      <c r="C30" s="108" t="str">
        <f ca="1">IFERROR(__xludf.DUMMYFUNCTION("INDEX(RECETAS!E:E, MAX(FILTER(ROW(RECETAS!A:A), RECETAS!A:A=A30)) + 1)"),"")</f>
        <v/>
      </c>
      <c r="D30" s="108" t="e">
        <f t="shared" ca="1" si="0"/>
        <v>#VALUE!</v>
      </c>
      <c r="E30" s="108"/>
      <c r="F30" s="108"/>
      <c r="G30" s="103"/>
    </row>
    <row r="31" spans="1:7" ht="22.5" customHeight="1" x14ac:dyDescent="0.25">
      <c r="A31" s="107"/>
      <c r="B31" s="107"/>
      <c r="C31" s="108" t="str">
        <f ca="1">IFERROR(__xludf.DUMMYFUNCTION("INDEX(RECETAS!E:E, MAX(FILTER(ROW(RECETAS!A:A), RECETAS!A:A=A31)) + 1)"),"")</f>
        <v/>
      </c>
      <c r="D31" s="108" t="e">
        <f t="shared" ca="1" si="0"/>
        <v>#VALUE!</v>
      </c>
      <c r="E31" s="108"/>
      <c r="F31" s="108"/>
      <c r="G31" s="103"/>
    </row>
    <row r="32" spans="1:7" ht="22.5" customHeight="1" x14ac:dyDescent="0.25">
      <c r="A32" s="107"/>
      <c r="B32" s="107"/>
      <c r="C32" s="108" t="str">
        <f ca="1">IFERROR(__xludf.DUMMYFUNCTION("INDEX(RECETAS!E:E, MAX(FILTER(ROW(RECETAS!A:A), RECETAS!A:A=A32)) + 1)"),"")</f>
        <v/>
      </c>
      <c r="D32" s="108" t="e">
        <f t="shared" ca="1" si="0"/>
        <v>#VALUE!</v>
      </c>
      <c r="E32" s="108"/>
      <c r="F32" s="108"/>
      <c r="G32" s="103"/>
    </row>
    <row r="33" spans="1:7" ht="22.5" customHeight="1" x14ac:dyDescent="0.25">
      <c r="A33" s="109"/>
      <c r="B33" s="109"/>
      <c r="C33" s="110"/>
      <c r="D33" s="110"/>
      <c r="E33" s="110"/>
      <c r="F33" s="110"/>
      <c r="G33" s="103"/>
    </row>
    <row r="34" spans="1:7" ht="30" customHeight="1" x14ac:dyDescent="0.25">
      <c r="A34" s="111"/>
      <c r="B34" s="111"/>
      <c r="C34" s="112"/>
      <c r="D34" s="113" t="e">
        <f ca="1">SUM(D4:D33)</f>
        <v>#VALUE!</v>
      </c>
      <c r="E34" s="113">
        <f ca="1">E4+F4*1</f>
        <v>604300</v>
      </c>
      <c r="F34" s="114" t="e">
        <f ca="1">D34/E34</f>
        <v>#VALUE!</v>
      </c>
      <c r="G34" s="115"/>
    </row>
  </sheetData>
  <dataValidations count="1">
    <dataValidation type="custom" allowBlank="1" showDropDown="1" sqref="C2:C33" xr:uid="{00000000-0002-0000-02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43"/>
  <sheetViews>
    <sheetView showGridLines="0" workbookViewId="0"/>
  </sheetViews>
  <sheetFormatPr baseColWidth="10" defaultColWidth="12.6640625" defaultRowHeight="15.75" customHeight="1" x14ac:dyDescent="0.25"/>
  <cols>
    <col min="1" max="1" width="44.21875" customWidth="1"/>
    <col min="2" max="2" width="11.44140625" customWidth="1"/>
    <col min="3" max="3" width="17.33203125" customWidth="1"/>
    <col min="4" max="4" width="15.6640625" customWidth="1"/>
    <col min="5" max="5" width="16" customWidth="1"/>
    <col min="6" max="6" width="17" customWidth="1"/>
    <col min="7" max="7" width="29.109375" customWidth="1"/>
  </cols>
  <sheetData>
    <row r="1" spans="1:7" ht="22.5" customHeight="1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5</v>
      </c>
      <c r="F1" s="1" t="s">
        <v>134</v>
      </c>
      <c r="G1" s="103"/>
    </row>
    <row r="2" spans="1:7" ht="22.5" customHeight="1" x14ac:dyDescent="0.25">
      <c r="A2" s="104"/>
      <c r="B2" s="104"/>
      <c r="C2" s="104"/>
      <c r="D2" s="104"/>
      <c r="E2" s="116"/>
      <c r="F2" s="104"/>
      <c r="G2" s="103"/>
    </row>
    <row r="3" spans="1:7" ht="22.5" hidden="1" customHeight="1" x14ac:dyDescent="0.25">
      <c r="A3" s="117" t="str">
        <f ca="1">IFERROR(__xludf.DUMMYFUNCTION("QUERY(ResumenVentas!A:B, ""Select A, sum(B) where A is not null group by A label sum(B) 'TOTAL'"", 1)"),"Producto")</f>
        <v>Producto</v>
      </c>
      <c r="B3" s="1" t="str">
        <f ca="1">IFERROR(__xludf.DUMMYFUNCTION("""COMPUTED_VALUE"""),"TOTAL")</f>
        <v>TOTAL</v>
      </c>
      <c r="C3" s="117"/>
      <c r="D3" s="117"/>
      <c r="E3" s="117"/>
      <c r="F3" s="117"/>
      <c r="G3" s="103"/>
    </row>
    <row r="4" spans="1:7" ht="22.5" customHeight="1" x14ac:dyDescent="0.25">
      <c r="A4" s="118" t="str">
        <f ca="1">IFERROR(__xludf.DUMMYFUNCTION("""COMPUTED_VALUE"""),"AGUA MANZANA H20")</f>
        <v>AGUA MANZANA H20</v>
      </c>
      <c r="B4" s="118">
        <f ca="1">IFERROR(__xludf.DUMMYFUNCTION("""COMPUTED_VALUE"""),9)</f>
        <v>9</v>
      </c>
      <c r="C4" s="119">
        <f ca="1">IFERROR(__xludf.DUMMYFUNCTION("INDEX(RECETAS!E:E, MAX(FILTER(ROW(RECETAS!A:A), RECETAS!A:A=A4)) + 1)"),717.358333333333)</f>
        <v>717.35833333333301</v>
      </c>
      <c r="D4" s="119">
        <f t="shared" ref="D4:D41" ca="1" si="0">C4*B4</f>
        <v>6456.2249999999967</v>
      </c>
      <c r="E4" s="119">
        <v>7692710</v>
      </c>
      <c r="F4" s="119">
        <v>13670420</v>
      </c>
      <c r="G4" s="103"/>
    </row>
    <row r="5" spans="1:7" ht="22.5" customHeight="1" x14ac:dyDescent="0.25">
      <c r="A5" s="118" t="str">
        <f ca="1">IFERROR(__xludf.DUMMYFUNCTION("""COMPUTED_VALUE"""),"AGUA MINERAL")</f>
        <v>AGUA MINERAL</v>
      </c>
      <c r="B5" s="118">
        <f ca="1">IFERROR(__xludf.DUMMYFUNCTION("""COMPUTED_VALUE"""),45)</f>
        <v>45</v>
      </c>
      <c r="C5" s="119">
        <f ca="1">IFERROR(__xludf.DUMMYFUNCTION("INDEX(RECETAS!E:E, MAX(FILTER(ROW(RECETAS!A:A), RECETAS!A:A=A5)) + 1)"),920.664166666666)</f>
        <v>920.66416666666601</v>
      </c>
      <c r="D5" s="119">
        <f t="shared" ca="1" si="0"/>
        <v>41429.887499999968</v>
      </c>
      <c r="E5" s="119"/>
      <c r="F5" s="119"/>
      <c r="G5" s="103"/>
    </row>
    <row r="6" spans="1:7" ht="22.5" customHeight="1" x14ac:dyDescent="0.25">
      <c r="A6" s="118" t="str">
        <f ca="1">IFERROR(__xludf.DUMMYFUNCTION("""COMPUTED_VALUE"""),"AGUA POMELO H20")</f>
        <v>AGUA POMELO H20</v>
      </c>
      <c r="B6" s="118">
        <f ca="1">IFERROR(__xludf.DUMMYFUNCTION("""COMPUTED_VALUE"""),40)</f>
        <v>40</v>
      </c>
      <c r="C6" s="119">
        <f ca="1">IFERROR(__xludf.DUMMYFUNCTION("INDEX(RECETAS!E:E, MAX(FILTER(ROW(RECETAS!A:A), RECETAS!A:A=A6)) + 1)"),717.375)</f>
        <v>717.375</v>
      </c>
      <c r="D6" s="119">
        <f t="shared" ca="1" si="0"/>
        <v>28695</v>
      </c>
      <c r="E6" s="119"/>
      <c r="F6" s="119"/>
      <c r="G6" s="103"/>
    </row>
    <row r="7" spans="1:7" ht="22.5" customHeight="1" x14ac:dyDescent="0.25">
      <c r="A7" s="118" t="str">
        <f ca="1">IFERROR(__xludf.DUMMYFUNCTION("""COMPUTED_VALUE"""),"AMERICAN BURGER")</f>
        <v>AMERICAN BURGER</v>
      </c>
      <c r="B7" s="118">
        <f ca="1">IFERROR(__xludf.DUMMYFUNCTION("""COMPUTED_VALUE"""),87)</f>
        <v>87</v>
      </c>
      <c r="C7" s="119">
        <f ca="1">IFERROR(__xludf.DUMMYFUNCTION("INDEX(RECETAS!E:E, MAX(FILTER(ROW(RECETAS!A:A), RECETAS!A:A=A7)) + 1)"),5886.03157939627)</f>
        <v>5886.03157939627</v>
      </c>
      <c r="D7" s="119">
        <f t="shared" ca="1" si="0"/>
        <v>512084.74740747549</v>
      </c>
      <c r="E7" s="119"/>
      <c r="F7" s="119"/>
      <c r="G7" s="103"/>
    </row>
    <row r="8" spans="1:7" ht="22.5" customHeight="1" x14ac:dyDescent="0.25">
      <c r="A8" s="118" t="str">
        <f ca="1">IFERROR(__xludf.DUMMYFUNCTION("""COMPUTED_VALUE"""),"AROS DE CEBOLLA")</f>
        <v>AROS DE CEBOLLA</v>
      </c>
      <c r="B8" s="118">
        <f ca="1">IFERROR(__xludf.DUMMYFUNCTION("""COMPUTED_VALUE"""),7)</f>
        <v>7</v>
      </c>
      <c r="C8" s="119">
        <f ca="1">IFERROR(__xludf.DUMMYFUNCTION("INDEX(RECETAS!E:E, MAX(FILTER(ROW(RECETAS!A:A), RECETAS!A:A=A8)) + 1)"),2027.49327948717)</f>
        <v>2027.49327948717</v>
      </c>
      <c r="D8" s="119">
        <f t="shared" ca="1" si="0"/>
        <v>14192.45295641019</v>
      </c>
      <c r="E8" s="119"/>
      <c r="F8" s="119"/>
      <c r="G8" s="103"/>
    </row>
    <row r="9" spans="1:7" ht="22.5" customHeight="1" x14ac:dyDescent="0.25">
      <c r="A9" s="118" t="str">
        <f ca="1">IFERROR(__xludf.DUMMYFUNCTION("""COMPUTED_VALUE"""),"BLUE CHEESE")</f>
        <v>BLUE CHEESE</v>
      </c>
      <c r="B9" s="118">
        <f ca="1">IFERROR(__xludf.DUMMYFUNCTION("""COMPUTED_VALUE"""),35)</f>
        <v>35</v>
      </c>
      <c r="C9" s="119">
        <f ca="1">IFERROR(__xludf.DUMMYFUNCTION("INDEX(RECETAS!E:E, MAX(FILTER(ROW(RECETAS!A:A), RECETAS!A:A=A9)) + 1)"),5298.53157939627)</f>
        <v>5298.53157939627</v>
      </c>
      <c r="D9" s="119">
        <f t="shared" ca="1" si="0"/>
        <v>185448.60527886945</v>
      </c>
      <c r="E9" s="119"/>
      <c r="F9" s="119"/>
      <c r="G9" s="103"/>
    </row>
    <row r="10" spans="1:7" ht="22.5" customHeight="1" x14ac:dyDescent="0.25">
      <c r="A10" s="118" t="str">
        <f ca="1">IFERROR(__xludf.DUMMYFUNCTION("""COMPUTED_VALUE"""),"BOTELLA DE CERVEZA")</f>
        <v>BOTELLA DE CERVEZA</v>
      </c>
      <c r="B10" s="118">
        <f ca="1">IFERROR(__xludf.DUMMYFUNCTION("""COMPUTED_VALUE"""),11)</f>
        <v>11</v>
      </c>
      <c r="C10" s="119">
        <f ca="1">IFERROR(__xludf.DUMMYFUNCTION("INDEX(RECETAS!E:E, MAX(FILTER(ROW(RECETAS!A:A), RECETAS!A:A=A10)) + 1)"),1899.93933333333)</f>
        <v>1899.9393333333301</v>
      </c>
      <c r="D10" s="119">
        <f t="shared" ca="1" si="0"/>
        <v>20899.332666666633</v>
      </c>
      <c r="E10" s="119"/>
      <c r="F10" s="119"/>
      <c r="G10" s="103"/>
    </row>
    <row r="11" spans="1:7" ht="22.5" customHeight="1" x14ac:dyDescent="0.25">
      <c r="A11" s="118" t="str">
        <f ca="1">IFERROR(__xludf.DUMMYFUNCTION("""COMPUTED_VALUE"""),"CHEESE BACON")</f>
        <v>CHEESE BACON</v>
      </c>
      <c r="B11" s="118">
        <f ca="1">IFERROR(__xludf.DUMMYFUNCTION("""COMPUTED_VALUE"""),172)</f>
        <v>172</v>
      </c>
      <c r="C11" s="119">
        <f ca="1">IFERROR(__xludf.DUMMYFUNCTION("INDEX(RECETAS!E:E, MAX(FILTER(ROW(RECETAS!A:A), RECETAS!A:A=A11)) + 1)"),5183.03047939627)</f>
        <v>5183.0304793962696</v>
      </c>
      <c r="D11" s="119">
        <f t="shared" ca="1" si="0"/>
        <v>891481.24245615839</v>
      </c>
      <c r="E11" s="119"/>
      <c r="F11" s="119"/>
      <c r="G11" s="103"/>
    </row>
    <row r="12" spans="1:7" ht="22.5" customHeight="1" x14ac:dyDescent="0.25">
      <c r="A12" s="118" t="str">
        <f ca="1">IFERROR(__xludf.DUMMYFUNCTION("""COMPUTED_VALUE"""),"CHEESE BURGER")</f>
        <v>CHEESE BURGER</v>
      </c>
      <c r="B12" s="118">
        <f ca="1">IFERROR(__xludf.DUMMYFUNCTION("""COMPUTED_VALUE"""),3)</f>
        <v>3</v>
      </c>
      <c r="C12" s="119">
        <f ca="1">IFERROR(__xludf.DUMMYFUNCTION("INDEX(RECETAS!E:E, MAX(FILTER(ROW(RECETAS!A:A), RECETAS!A:A=A12)) + 1)"),5073.90657939627)</f>
        <v>5073.90657939627</v>
      </c>
      <c r="D12" s="119">
        <f t="shared" ca="1" si="0"/>
        <v>15221.719738188811</v>
      </c>
      <c r="E12" s="119"/>
      <c r="F12" s="119"/>
      <c r="G12" s="103"/>
    </row>
    <row r="13" spans="1:7" ht="22.5" customHeight="1" x14ac:dyDescent="0.25">
      <c r="A13" s="118" t="str">
        <f ca="1">IFERROR(__xludf.DUMMYFUNCTION("""COMPUTED_VALUE"""),"CHEESE BURGER CANJE")</f>
        <v>CHEESE BURGER CANJE</v>
      </c>
      <c r="B13" s="118">
        <f ca="1">IFERROR(__xludf.DUMMYFUNCTION("""COMPUTED_VALUE"""),8)</f>
        <v>8</v>
      </c>
      <c r="C13" s="119">
        <f ca="1">IFERROR(__xludf.DUMMYFUNCTION("INDEX(RECETAS!E:E, MAX(FILTER(ROW(RECETAS!A:A), RECETAS!A:A=A13)) + 1)"),2086.06704059829)</f>
        <v>2086.0670405982901</v>
      </c>
      <c r="D13" s="119">
        <f t="shared" ca="1" si="0"/>
        <v>16688.536324786321</v>
      </c>
      <c r="E13" s="119"/>
      <c r="F13" s="119"/>
      <c r="G13" s="103"/>
    </row>
    <row r="14" spans="1:7" ht="22.5" customHeight="1" x14ac:dyDescent="0.25">
      <c r="A14" s="118" t="str">
        <f ca="1">IFERROR(__xludf.DUMMYFUNCTION("""COMPUTED_VALUE"""),"CRISPY BURGER")</f>
        <v>CRISPY BURGER</v>
      </c>
      <c r="B14" s="118">
        <f ca="1">IFERROR(__xludf.DUMMYFUNCTION("""COMPUTED_VALUE"""),51)</f>
        <v>51</v>
      </c>
      <c r="C14" s="119">
        <f ca="1">IFERROR(__xludf.DUMMYFUNCTION("INDEX(RECETAS!E:E, MAX(FILTER(ROW(RECETAS!A:A), RECETAS!A:A=A14)) + 1)"),5233.03047939627)</f>
        <v>5233.0304793962696</v>
      </c>
      <c r="D14" s="119">
        <f t="shared" ca="1" si="0"/>
        <v>266884.55444920977</v>
      </c>
      <c r="E14" s="119"/>
      <c r="F14" s="119"/>
      <c r="G14" s="103"/>
    </row>
    <row r="15" spans="1:7" ht="22.5" customHeight="1" x14ac:dyDescent="0.25">
      <c r="A15" s="118" t="str">
        <f ca="1">IFERROR(__xludf.DUMMYFUNCTION("""COMPUTED_VALUE"""),"DOBLE CUARTO")</f>
        <v>DOBLE CUARTO</v>
      </c>
      <c r="B15" s="118">
        <f ca="1">IFERROR(__xludf.DUMMYFUNCTION("""COMPUTED_VALUE"""),50)</f>
        <v>50</v>
      </c>
      <c r="C15" s="119">
        <f ca="1">IFERROR(__xludf.DUMMYFUNCTION("INDEX(RECETAS!E:E, MAX(FILTER(ROW(RECETAS!A:A), RECETAS!A:A=A15)) + 1)"),5326.66684303263)</f>
        <v>5326.6668430326299</v>
      </c>
      <c r="D15" s="119">
        <f t="shared" ca="1" si="0"/>
        <v>266333.34215163148</v>
      </c>
      <c r="E15" s="119"/>
      <c r="F15" s="119"/>
      <c r="G15" s="103"/>
    </row>
    <row r="16" spans="1:7" ht="22.5" customHeight="1" x14ac:dyDescent="0.25">
      <c r="A16" s="118" t="str">
        <f ca="1">IFERROR(__xludf.DUMMYFUNCTION("""COMPUTED_VALUE"""),"EXTRA MEDALLON")</f>
        <v>EXTRA MEDALLON</v>
      </c>
      <c r="B16" s="118">
        <f ca="1">IFERROR(__xludf.DUMMYFUNCTION("""COMPUTED_VALUE"""),3)</f>
        <v>3</v>
      </c>
      <c r="C16" s="119">
        <f ca="1">IFERROR(__xludf.DUMMYFUNCTION("INDEX(RECETAS!E:E, MAX(FILTER(ROW(RECETAS!A:A), RECETAS!A:A=A16)) + 1)"),1421.75)</f>
        <v>1421.75</v>
      </c>
      <c r="D16" s="119">
        <f t="shared" ca="1" si="0"/>
        <v>4265.25</v>
      </c>
      <c r="E16" s="119"/>
      <c r="F16" s="119"/>
      <c r="G16" s="103"/>
    </row>
    <row r="17" spans="1:7" ht="22.5" customHeight="1" x14ac:dyDescent="0.25">
      <c r="A17" s="118" t="str">
        <f ca="1">IFERROR(__xludf.DUMMYFUNCTION("""COMPUTED_VALUE"""),"HUMPTY BURGER")</f>
        <v>HUMPTY BURGER</v>
      </c>
      <c r="B17" s="118">
        <f ca="1">IFERROR(__xludf.DUMMYFUNCTION("""COMPUTED_VALUE"""),74)</f>
        <v>74</v>
      </c>
      <c r="C17" s="119">
        <f ca="1">IFERROR(__xludf.DUMMYFUNCTION("INDEX(RECETAS!E:E, MAX(FILTER(ROW(RECETAS!A:A), RECETAS!A:A=A17)) + 1)"),5409.69714606293)</f>
        <v>5409.6971460629302</v>
      </c>
      <c r="D17" s="119">
        <f t="shared" ca="1" si="0"/>
        <v>400317.58880865684</v>
      </c>
      <c r="E17" s="119"/>
      <c r="F17" s="119"/>
      <c r="G17" s="103"/>
    </row>
    <row r="18" spans="1:7" ht="22.5" customHeight="1" x14ac:dyDescent="0.25">
      <c r="A18" s="118" t="str">
        <f ca="1">IFERROR(__xludf.DUMMYFUNCTION("""COMPUTED_VALUE"""),"JIMMY BURGER")</f>
        <v>JIMMY BURGER</v>
      </c>
      <c r="B18" s="118">
        <f ca="1">IFERROR(__xludf.DUMMYFUNCTION("""COMPUTED_VALUE"""),34)</f>
        <v>34</v>
      </c>
      <c r="C18" s="119">
        <f ca="1">IFERROR(__xludf.DUMMYFUNCTION("INDEX(RECETAS!E:E, MAX(FILTER(ROW(RECETAS!A:A), RECETAS!A:A=A18)) + 1)"),3923.49054884071)</f>
        <v>3923.4905488407098</v>
      </c>
      <c r="D18" s="119">
        <f t="shared" ca="1" si="0"/>
        <v>133398.67866058415</v>
      </c>
      <c r="E18" s="119"/>
      <c r="F18" s="119"/>
      <c r="G18" s="103"/>
    </row>
    <row r="19" spans="1:7" ht="22.5" customHeight="1" x14ac:dyDescent="0.25">
      <c r="A19" s="118" t="str">
        <f ca="1">IFERROR(__xludf.DUMMYFUNCTION("""COMPUTED_VALUE"""),"MEDALLON VEGGIE")</f>
        <v>MEDALLON VEGGIE</v>
      </c>
      <c r="B19" s="118">
        <f ca="1">IFERROR(__xludf.DUMMYFUNCTION("""COMPUTED_VALUE"""),1)</f>
        <v>1</v>
      </c>
      <c r="C19" s="119">
        <f ca="1">IFERROR(__xludf.DUMMYFUNCTION("INDEX(RECETAS!E:E, MAX(FILTER(ROW(RECETAS!A:A), RECETAS!A:A=A19)) + 1)"),700)</f>
        <v>700</v>
      </c>
      <c r="D19" s="119">
        <f t="shared" ca="1" si="0"/>
        <v>700</v>
      </c>
      <c r="E19" s="119"/>
      <c r="F19" s="119"/>
      <c r="G19" s="103"/>
    </row>
    <row r="20" spans="1:7" ht="22.5" customHeight="1" x14ac:dyDescent="0.25">
      <c r="A20" s="118" t="str">
        <f ca="1">IFERROR(__xludf.DUMMYFUNCTION("""COMPUTED_VALUE"""),"MEDIA PINTA DE CERVEZA")</f>
        <v>MEDIA PINTA DE CERVEZA</v>
      </c>
      <c r="B20" s="118">
        <f ca="1">IFERROR(__xludf.DUMMYFUNCTION("""COMPUTED_VALUE"""),64)</f>
        <v>64</v>
      </c>
      <c r="C20" s="119">
        <f ca="1">IFERROR(__xludf.DUMMYFUNCTION("INDEX(RECETAS!E:E, MAX(FILTER(ROW(RECETAS!A:A), RECETAS!A:A=A20)) + 1)"),949.969666666666)</f>
        <v>949.96966666666594</v>
      </c>
      <c r="D20" s="119">
        <f t="shared" ca="1" si="0"/>
        <v>60798.05866666662</v>
      </c>
      <c r="E20" s="119"/>
      <c r="F20" s="119"/>
      <c r="G20" s="103"/>
    </row>
    <row r="21" spans="1:7" ht="22.5" customHeight="1" x14ac:dyDescent="0.25">
      <c r="A21" s="118" t="str">
        <f ca="1">IFERROR(__xludf.DUMMYFUNCTION("""COMPUTED_VALUE"""),"MIGI BURGER")</f>
        <v>MIGI BURGER</v>
      </c>
      <c r="B21" s="118">
        <f ca="1">IFERROR(__xludf.DUMMYFUNCTION("""COMPUTED_VALUE"""),164)</f>
        <v>164</v>
      </c>
      <c r="C21" s="119">
        <f ca="1">IFERROR(__xludf.DUMMYFUNCTION("INDEX(RECETAS!E:E, MAX(FILTER(ROW(RECETAS!A:A), RECETAS!A:A=A21)) + 1)"),4209.03157939627)</f>
        <v>4209.03157939627</v>
      </c>
      <c r="D21" s="119">
        <f t="shared" ca="1" si="0"/>
        <v>690281.17902098829</v>
      </c>
      <c r="E21" s="119"/>
      <c r="F21" s="119"/>
      <c r="G21" s="103"/>
    </row>
    <row r="22" spans="1:7" ht="22.5" customHeight="1" x14ac:dyDescent="0.25">
      <c r="A22" s="118" t="str">
        <f ca="1">IFERROR(__xludf.DUMMYFUNCTION("""COMPUTED_VALUE"""),"MIRINDA")</f>
        <v>MIRINDA</v>
      </c>
      <c r="B22" s="118">
        <f ca="1">IFERROR(__xludf.DUMMYFUNCTION("""COMPUTED_VALUE"""),36)</f>
        <v>36</v>
      </c>
      <c r="C22" s="119">
        <f ca="1">IFERROR(__xludf.DUMMYFUNCTION("INDEX(RECETAS!E:E, MAX(FILTER(ROW(RECETAS!A:A), RECETAS!A:A=A22)) + 1)"),758.113333333333)</f>
        <v>758.113333333333</v>
      </c>
      <c r="D22" s="119">
        <f t="shared" ca="1" si="0"/>
        <v>27292.079999999987</v>
      </c>
      <c r="E22" s="119"/>
      <c r="F22" s="119"/>
      <c r="G22" s="103"/>
    </row>
    <row r="23" spans="1:7" ht="22.5" customHeight="1" x14ac:dyDescent="0.25">
      <c r="A23" s="118" t="str">
        <f ca="1">IFERROR(__xludf.DUMMYFUNCTION("""COMPUTED_VALUE"""),"MOBY DICK")</f>
        <v>MOBY DICK</v>
      </c>
      <c r="B23" s="118">
        <f ca="1">IFERROR(__xludf.DUMMYFUNCTION("""COMPUTED_VALUE"""),70)</f>
        <v>70</v>
      </c>
      <c r="C23" s="119">
        <f ca="1">IFERROR(__xludf.DUMMYFUNCTION("INDEX(RECETAS!E:E, MAX(FILTER(ROW(RECETAS!A:A), RECETAS!A:A=A23)) + 1)"),8562.10924050738)</f>
        <v>8562.1092405073796</v>
      </c>
      <c r="D23" s="119">
        <f t="shared" ca="1" si="0"/>
        <v>599347.64683551656</v>
      </c>
      <c r="E23" s="119"/>
      <c r="F23" s="119"/>
      <c r="G23" s="103"/>
    </row>
    <row r="24" spans="1:7" ht="22.5" customHeight="1" x14ac:dyDescent="0.25">
      <c r="A24" s="118" t="str">
        <f ca="1">IFERROR(__xludf.DUMMYFUNCTION("""COMPUTED_VALUE"""),"NUGGETS X 10")</f>
        <v>NUGGETS X 10</v>
      </c>
      <c r="B24" s="118">
        <f ca="1">IFERROR(__xludf.DUMMYFUNCTION("""COMPUTED_VALUE"""),12)</f>
        <v>12</v>
      </c>
      <c r="C24" s="119">
        <f ca="1">IFERROR(__xludf.DUMMYFUNCTION("INDEX(RECETAS!E:E, MAX(FILTER(ROW(RECETAS!A:A), RECETAS!A:A=A24)) + 1)"),2756.21051282051)</f>
        <v>2756.2105128205098</v>
      </c>
      <c r="D24" s="119">
        <f t="shared" ca="1" si="0"/>
        <v>33074.52615384612</v>
      </c>
      <c r="E24" s="119"/>
      <c r="F24" s="119"/>
      <c r="G24" s="103"/>
    </row>
    <row r="25" spans="1:7" ht="22.5" customHeight="1" x14ac:dyDescent="0.25">
      <c r="A25" s="118" t="str">
        <f ca="1">IFERROR(__xludf.DUMMYFUNCTION("""COMPUTED_VALUE"""),"NUGGETS X 6")</f>
        <v>NUGGETS X 6</v>
      </c>
      <c r="B25" s="118">
        <f ca="1">IFERROR(__xludf.DUMMYFUNCTION("""COMPUTED_VALUE"""),5)</f>
        <v>5</v>
      </c>
      <c r="C25" s="119">
        <f ca="1">IFERROR(__xludf.DUMMYFUNCTION("INDEX(RECETAS!E:E, MAX(FILTER(ROW(RECETAS!A:A), RECETAS!A:A=A25)) + 1)"),1680.52117948717)</f>
        <v>1680.52117948717</v>
      </c>
      <c r="D25" s="119">
        <f t="shared" ca="1" si="0"/>
        <v>8402.6058974358493</v>
      </c>
      <c r="E25" s="119"/>
      <c r="F25" s="119"/>
      <c r="G25" s="103"/>
    </row>
    <row r="26" spans="1:7" ht="22.5" customHeight="1" x14ac:dyDescent="0.25">
      <c r="A26" s="118" t="str">
        <f ca="1">IFERROR(__xludf.DUMMYFUNCTION("""COMPUTED_VALUE"""),"ONION RINGS BURGER")</f>
        <v>ONION RINGS BURGER</v>
      </c>
      <c r="B26" s="118">
        <f ca="1">IFERROR(__xludf.DUMMYFUNCTION("""COMPUTED_VALUE"""),26)</f>
        <v>26</v>
      </c>
      <c r="C26" s="119">
        <f ca="1">IFERROR(__xludf.DUMMYFUNCTION("INDEX(RECETAS!E:E, MAX(FILTER(ROW(RECETAS!A:A), RECETAS!A:A=A26)) + 1)"),5660.1693127296)</f>
        <v>5660.1693127296003</v>
      </c>
      <c r="D26" s="119">
        <f t="shared" ca="1" si="0"/>
        <v>147164.4021309696</v>
      </c>
      <c r="E26" s="119"/>
      <c r="F26" s="119"/>
      <c r="G26" s="103"/>
    </row>
    <row r="27" spans="1:7" ht="22.5" customHeight="1" x14ac:dyDescent="0.25">
      <c r="A27" s="118" t="str">
        <f ca="1">IFERROR(__xludf.DUMMYFUNCTION("""COMPUTED_VALUE"""),"PEPSI  ")</f>
        <v xml:space="preserve">PEPSI  </v>
      </c>
      <c r="B27" s="118">
        <f ca="1">IFERROR(__xludf.DUMMYFUNCTION("""COMPUTED_VALUE"""),204)</f>
        <v>204</v>
      </c>
      <c r="C27" s="119">
        <f ca="1">IFERROR(__xludf.DUMMYFUNCTION("INDEX(RECETAS!E:E, MAX(FILTER(ROW(RECETAS!A:A), RECETAS!A:A=A27)) + 1)"),770.53)</f>
        <v>770.53</v>
      </c>
      <c r="D27" s="119">
        <f t="shared" ca="1" si="0"/>
        <v>157188.12</v>
      </c>
      <c r="E27" s="119"/>
      <c r="F27" s="119"/>
      <c r="G27" s="103"/>
    </row>
    <row r="28" spans="1:7" ht="22.5" customHeight="1" x14ac:dyDescent="0.25">
      <c r="A28" s="118" t="str">
        <f ca="1">IFERROR(__xludf.DUMMYFUNCTION("""COMPUTED_VALUE"""),"PEPSI BLACK")</f>
        <v>PEPSI BLACK</v>
      </c>
      <c r="B28" s="118">
        <f ca="1">IFERROR(__xludf.DUMMYFUNCTION("""COMPUTED_VALUE"""),43)</f>
        <v>43</v>
      </c>
      <c r="C28" s="119">
        <f ca="1">IFERROR(__xludf.DUMMYFUNCTION("INDEX(RECETAS!E:E, MAX(FILTER(ROW(RECETAS!A:A), RECETAS!A:A=A28)) + 1)"),758.1)</f>
        <v>758.1</v>
      </c>
      <c r="D28" s="119">
        <f t="shared" ca="1" si="0"/>
        <v>32598.3</v>
      </c>
      <c r="E28" s="119"/>
      <c r="F28" s="119"/>
      <c r="G28" s="103"/>
    </row>
    <row r="29" spans="1:7" ht="22.5" customHeight="1" x14ac:dyDescent="0.25">
      <c r="A29" s="118" t="str">
        <f ca="1">IFERROR(__xludf.DUMMYFUNCTION("""COMPUTED_VALUE"""),"PINTA DE CERVEZA")</f>
        <v>PINTA DE CERVEZA</v>
      </c>
      <c r="B29" s="118">
        <f ca="1">IFERROR(__xludf.DUMMYFUNCTION("""COMPUTED_VALUE"""),2)</f>
        <v>2</v>
      </c>
      <c r="C29" s="119">
        <f ca="1">IFERROR(__xludf.DUMMYFUNCTION("INDEX(RECETAS!E:E, MAX(FILTER(ROW(RECETAS!A:A), RECETAS!A:A=A29)) + 1)"),1899.93933333333)</f>
        <v>1899.9393333333301</v>
      </c>
      <c r="D29" s="119">
        <f t="shared" ca="1" si="0"/>
        <v>3799.8786666666601</v>
      </c>
      <c r="E29" s="119"/>
      <c r="F29" s="119"/>
      <c r="G29" s="103"/>
    </row>
    <row r="30" spans="1:7" ht="22.5" customHeight="1" x14ac:dyDescent="0.25">
      <c r="A30" s="118" t="str">
        <f ca="1">IFERROR(__xludf.DUMMYFUNCTION("""COMPUTED_VALUE"""),"PORCION DE PAPAS")</f>
        <v>PORCION DE PAPAS</v>
      </c>
      <c r="B30" s="118">
        <f ca="1">IFERROR(__xludf.DUMMYFUNCTION("""COMPUTED_VALUE"""),19)</f>
        <v>19</v>
      </c>
      <c r="C30" s="119">
        <f ca="1">IFERROR(__xludf.DUMMYFUNCTION("INDEX(RECETAS!E:E, MAX(FILTER(ROW(RECETAS!A:A), RECETAS!A:A=A30)) + 1)"),2292.92034615384)</f>
        <v>2292.92034615384</v>
      </c>
      <c r="D30" s="119">
        <f t="shared" ca="1" si="0"/>
        <v>43565.486576922958</v>
      </c>
      <c r="E30" s="119"/>
      <c r="F30" s="119"/>
      <c r="G30" s="103"/>
    </row>
    <row r="31" spans="1:7" ht="22.5" customHeight="1" x14ac:dyDescent="0.25">
      <c r="A31" s="118" t="str">
        <f ca="1">IFERROR(__xludf.DUMMYFUNCTION("""COMPUTED_VALUE"""),"PORCION DE PAPAS CON CHEDDAR Y BACON")</f>
        <v>PORCION DE PAPAS CON CHEDDAR Y BACON</v>
      </c>
      <c r="B31" s="118">
        <f ca="1">IFERROR(__xludf.DUMMYFUNCTION("""COMPUTED_VALUE"""),6)</f>
        <v>6</v>
      </c>
      <c r="C31" s="119">
        <f ca="1">IFERROR(__xludf.DUMMYFUNCTION("INDEX(RECETAS!E:E, MAX(FILTER(ROW(RECETAS!A:A), RECETAS!A:A=A31)) + 1)"),3229.7962032967)</f>
        <v>3229.7962032966998</v>
      </c>
      <c r="D31" s="119">
        <f t="shared" ca="1" si="0"/>
        <v>19378.777219780197</v>
      </c>
      <c r="E31" s="119"/>
      <c r="F31" s="119"/>
      <c r="G31" s="103"/>
    </row>
    <row r="32" spans="1:7" ht="22.5" customHeight="1" x14ac:dyDescent="0.25">
      <c r="A32" s="118" t="str">
        <f ca="1">IFERROR(__xludf.DUMMYFUNCTION("""COMPUTED_VALUE"""),"PORCION DE PAPAS Y CHEDDAR")</f>
        <v>PORCION DE PAPAS Y CHEDDAR</v>
      </c>
      <c r="B32" s="118">
        <f ca="1">IFERROR(__xludf.DUMMYFUNCTION("""COMPUTED_VALUE"""),7)</f>
        <v>7</v>
      </c>
      <c r="C32" s="119">
        <f ca="1">IFERROR(__xludf.DUMMYFUNCTION("INDEX(RECETAS!E:E, MAX(FILTER(ROW(RECETAS!A:A), RECETAS!A:A=A32)) + 1)"),2948.1332032967)</f>
        <v>2948.1332032966998</v>
      </c>
      <c r="D32" s="119">
        <f t="shared" ca="1" si="0"/>
        <v>20636.932423076898</v>
      </c>
      <c r="E32" s="119"/>
      <c r="F32" s="119"/>
      <c r="G32" s="103"/>
    </row>
    <row r="33" spans="1:7" ht="22.5" customHeight="1" x14ac:dyDescent="0.25">
      <c r="A33" s="118" t="str">
        <f ca="1">IFERROR(__xludf.DUMMYFUNCTION("""COMPUTED_VALUE"""),"POSTRE CHOCOTORTA")</f>
        <v>POSTRE CHOCOTORTA</v>
      </c>
      <c r="B33" s="118">
        <f ca="1">IFERROR(__xludf.DUMMYFUNCTION("""COMPUTED_VALUE"""),13)</f>
        <v>13</v>
      </c>
      <c r="C33" s="119">
        <f ca="1">IFERROR(__xludf.DUMMYFUNCTION("INDEX(RECETAS!E:E, MAX(FILTER(ROW(RECETAS!A:A), RECETAS!A:A=A33)) + 1)"),2800)</f>
        <v>2800</v>
      </c>
      <c r="D33" s="119">
        <f t="shared" ca="1" si="0"/>
        <v>36400</v>
      </c>
      <c r="E33" s="119"/>
      <c r="F33" s="119"/>
      <c r="G33" s="103"/>
    </row>
    <row r="34" spans="1:7" ht="30" customHeight="1" x14ac:dyDescent="0.25">
      <c r="A34" s="118" t="str">
        <f ca="1">IFERROR(__xludf.DUMMYFUNCTION("""COMPUTED_VALUE"""),"POSTRE OREO")</f>
        <v>POSTRE OREO</v>
      </c>
      <c r="B34" s="118">
        <f ca="1">IFERROR(__xludf.DUMMYFUNCTION("""COMPUTED_VALUE"""),12)</f>
        <v>12</v>
      </c>
      <c r="C34" s="119">
        <f ca="1">IFERROR(__xludf.DUMMYFUNCTION("INDEX(RECETAS!E:E, MAX(FILTER(ROW(RECETAS!A:A), RECETAS!A:A=A34)) + 1)"),2800)</f>
        <v>2800</v>
      </c>
      <c r="D34" s="119">
        <f t="shared" ca="1" si="0"/>
        <v>33600</v>
      </c>
      <c r="E34" s="120"/>
      <c r="F34" s="121"/>
      <c r="G34" s="115"/>
    </row>
    <row r="35" spans="1:7" ht="30" customHeight="1" x14ac:dyDescent="0.25">
      <c r="A35" s="118" t="str">
        <f ca="1">IFERROR(__xludf.DUMMYFUNCTION("""COMPUTED_VALUE"""),"PULLED PORK")</f>
        <v>PULLED PORK</v>
      </c>
      <c r="B35" s="118">
        <f ca="1">IFERROR(__xludf.DUMMYFUNCTION("""COMPUTED_VALUE"""),63)</f>
        <v>63</v>
      </c>
      <c r="C35" s="119">
        <f ca="1">IFERROR(__xludf.DUMMYFUNCTION("INDEX(RECETAS!E:E, MAX(FILTER(ROW(RECETAS!A:A), RECETAS!A:A=A35)) + 1)"),2652.60312106293)</f>
        <v>2652.6031210629299</v>
      </c>
      <c r="D35" s="119">
        <f t="shared" ca="1" si="0"/>
        <v>167113.9966269646</v>
      </c>
      <c r="E35" s="120"/>
      <c r="F35" s="121"/>
      <c r="G35" s="115"/>
    </row>
    <row r="36" spans="1:7" ht="30" customHeight="1" x14ac:dyDescent="0.25">
      <c r="A36" s="118" t="str">
        <f ca="1">IFERROR(__xludf.DUMMYFUNCTION("""COMPUTED_VALUE"""),"SEVEN-UP")</f>
        <v>SEVEN-UP</v>
      </c>
      <c r="B36" s="118">
        <f ca="1">IFERROR(__xludf.DUMMYFUNCTION("""COMPUTED_VALUE"""),126)</f>
        <v>126</v>
      </c>
      <c r="C36" s="119">
        <f ca="1">IFERROR(__xludf.DUMMYFUNCTION("INDEX(RECETAS!E:E, MAX(FILTER(ROW(RECETAS!A:A), RECETAS!A:A=A36)) + 1)"),758.113333333333)</f>
        <v>758.113333333333</v>
      </c>
      <c r="D36" s="119">
        <f t="shared" ca="1" si="0"/>
        <v>95522.279999999955</v>
      </c>
      <c r="E36" s="122"/>
      <c r="F36" s="121"/>
      <c r="G36" s="115"/>
    </row>
    <row r="37" spans="1:7" ht="30" customHeight="1" x14ac:dyDescent="0.25">
      <c r="A37" s="118" t="str">
        <f ca="1">IFERROR(__xludf.DUMMYFUNCTION("""COMPUTED_VALUE"""),"SWEET BACON BURGER")</f>
        <v>SWEET BACON BURGER</v>
      </c>
      <c r="B37" s="118">
        <f ca="1">IFERROR(__xludf.DUMMYFUNCTION("""COMPUTED_VALUE"""),31)</f>
        <v>31</v>
      </c>
      <c r="C37" s="119">
        <f ca="1">IFERROR(__xludf.DUMMYFUNCTION("INDEX(RECETAS!E:E, MAX(FILTER(ROW(RECETAS!A:A), RECETAS!A:A=A37)) + 1)"),5148.53157939627)</f>
        <v>5148.53157939627</v>
      </c>
      <c r="D37" s="119">
        <f t="shared" ca="1" si="0"/>
        <v>159604.47896128436</v>
      </c>
      <c r="E37" s="122"/>
      <c r="F37" s="121"/>
      <c r="G37" s="115"/>
    </row>
    <row r="38" spans="1:7" ht="30" customHeight="1" x14ac:dyDescent="0.25">
      <c r="A38" s="118" t="str">
        <f ca="1">IFERROR(__xludf.DUMMYFUNCTION("""COMPUTED_VALUE"""),"SWEET ONION")</f>
        <v>SWEET ONION</v>
      </c>
      <c r="B38" s="118">
        <f ca="1">IFERROR(__xludf.DUMMYFUNCTION("""COMPUTED_VALUE"""),68)</f>
        <v>68</v>
      </c>
      <c r="C38" s="119">
        <f ca="1">IFERROR(__xludf.DUMMYFUNCTION("INDEX(RECETAS!E:E, MAX(FILTER(ROW(RECETAS!A:A), RECETAS!A:A=A38)) + 1)"),5183.03047939627)</f>
        <v>5183.0304793962696</v>
      </c>
      <c r="D38" s="119">
        <f t="shared" ca="1" si="0"/>
        <v>352446.07259894634</v>
      </c>
      <c r="E38" s="122"/>
      <c r="F38" s="121"/>
      <c r="G38" s="115"/>
    </row>
    <row r="39" spans="1:7" ht="30" customHeight="1" x14ac:dyDescent="0.25">
      <c r="A39" s="118" t="str">
        <f ca="1">IFERROR(__xludf.DUMMYFUNCTION("""COMPUTED_VALUE"""),"TASTY WLB")</f>
        <v>TASTY WLB</v>
      </c>
      <c r="B39" s="118">
        <f ca="1">IFERROR(__xludf.DUMMYFUNCTION("""COMPUTED_VALUE"""),41)</f>
        <v>41</v>
      </c>
      <c r="C39" s="119">
        <f ca="1">IFERROR(__xludf.DUMMYFUNCTION("INDEX(RECETAS!E:E, MAX(FILTER(ROW(RECETAS!A:A), RECETAS!A:A=A39)) + 1)"),5411.03157939627)</f>
        <v>5411.03157939627</v>
      </c>
      <c r="D39" s="119">
        <f t="shared" ca="1" si="0"/>
        <v>221852.29475524707</v>
      </c>
      <c r="E39" s="122"/>
      <c r="F39" s="121"/>
      <c r="G39" s="115"/>
    </row>
    <row r="40" spans="1:7" ht="30" customHeight="1" x14ac:dyDescent="0.25">
      <c r="A40" s="118" t="str">
        <f ca="1">IFERROR(__xludf.DUMMYFUNCTION("""COMPUTED_VALUE"""),"TRIPLE CHEESE BACON")</f>
        <v>TRIPLE CHEESE BACON</v>
      </c>
      <c r="B40" s="118">
        <f ca="1">IFERROR(__xludf.DUMMYFUNCTION("""COMPUTED_VALUE"""),64)</f>
        <v>64</v>
      </c>
      <c r="C40" s="119">
        <f ca="1">IFERROR(__xludf.DUMMYFUNCTION("INDEX(RECETAS!E:E, MAX(FILTER(ROW(RECETAS!A:A), RECETAS!A:A=A40)) + 1)"),6830.32040995182)</f>
        <v>6830.3204099518198</v>
      </c>
      <c r="D40" s="119">
        <f t="shared" ca="1" si="0"/>
        <v>437140.50623691647</v>
      </c>
      <c r="E40" s="120"/>
      <c r="F40" s="121"/>
      <c r="G40" s="115"/>
    </row>
    <row r="41" spans="1:7" ht="30" customHeight="1" x14ac:dyDescent="0.25">
      <c r="A41" s="118" t="str">
        <f ca="1">IFERROR(__xludf.DUMMYFUNCTION("""COMPUTED_VALUE"""),"VEGGIE BURGER")</f>
        <v>VEGGIE BURGER</v>
      </c>
      <c r="B41" s="118">
        <f ca="1">IFERROR(__xludf.DUMMYFUNCTION("""COMPUTED_VALUE"""),26)</f>
        <v>26</v>
      </c>
      <c r="C41" s="119">
        <f ca="1">IFERROR(__xludf.DUMMYFUNCTION("INDEX(RECETAS!E:E, MAX(FILTER(ROW(RECETAS!A:A), RECETAS!A:A=A41)) + 1)"),2674.4117877296)</f>
        <v>2674.4117877295998</v>
      </c>
      <c r="D41" s="119">
        <f t="shared" ca="1" si="0"/>
        <v>69534.706480969602</v>
      </c>
      <c r="E41" s="123"/>
      <c r="F41" s="124"/>
      <c r="G41" s="115"/>
    </row>
    <row r="42" spans="1:7" ht="30" customHeight="1" x14ac:dyDescent="0.25">
      <c r="A42" s="118"/>
      <c r="B42" s="118"/>
      <c r="C42" s="123"/>
      <c r="D42" s="125"/>
      <c r="E42" s="123"/>
      <c r="F42" s="124"/>
      <c r="G42" s="115"/>
    </row>
    <row r="43" spans="1:7" ht="30" customHeight="1" x14ac:dyDescent="0.25">
      <c r="A43" s="126"/>
      <c r="B43" s="126"/>
      <c r="C43" s="127">
        <f ca="1">SUM(Tabla_2[COSTO UNITARIO])</f>
        <v>122558.6185896244</v>
      </c>
      <c r="D43" s="128">
        <f ca="1">SUM(D4:D42)</f>
        <v>6221239.4926508348</v>
      </c>
      <c r="E43" s="129" t="s">
        <v>138</v>
      </c>
      <c r="F43" s="130" t="s">
        <v>139</v>
      </c>
      <c r="G43" s="115"/>
    </row>
  </sheetData>
  <dataValidations count="1">
    <dataValidation type="custom" allowBlank="1" showDropDown="1" sqref="C2:C42" xr:uid="{00000000-0002-0000-03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43"/>
  <sheetViews>
    <sheetView showGridLines="0" workbookViewId="0"/>
  </sheetViews>
  <sheetFormatPr baseColWidth="10" defaultColWidth="12.6640625" defaultRowHeight="15.75" customHeight="1" x14ac:dyDescent="0.25"/>
  <cols>
    <col min="1" max="1" width="44.21875" customWidth="1"/>
    <col min="2" max="2" width="11.44140625" customWidth="1"/>
    <col min="3" max="3" width="17.33203125" customWidth="1"/>
    <col min="4" max="4" width="15.6640625" customWidth="1"/>
    <col min="5" max="5" width="16" customWidth="1"/>
    <col min="6" max="6" width="17" customWidth="1"/>
    <col min="7" max="7" width="29.109375" customWidth="1"/>
  </cols>
  <sheetData>
    <row r="1" spans="1:7" ht="22.5" customHeight="1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5</v>
      </c>
      <c r="F1" s="1" t="s">
        <v>134</v>
      </c>
      <c r="G1" s="103"/>
    </row>
    <row r="2" spans="1:7" ht="22.5" customHeight="1" x14ac:dyDescent="0.25">
      <c r="A2" s="104"/>
      <c r="B2" s="104"/>
      <c r="C2" s="104"/>
      <c r="D2" s="104"/>
      <c r="E2" s="116"/>
      <c r="F2" s="104"/>
      <c r="G2" s="103"/>
    </row>
    <row r="3" spans="1:7" ht="22.5" hidden="1" customHeight="1" x14ac:dyDescent="0.25">
      <c r="A3" s="117" t="str">
        <f ca="1">IFERROR(__xludf.DUMMYFUNCTION("QUERY(ResumenVentas!A:B, ""Select A, sum(B) where A is not null group by A label sum(B) 'TOTAL'"", 1)"),"Producto")</f>
        <v>Producto</v>
      </c>
      <c r="B3" s="1" t="str">
        <f ca="1">IFERROR(__xludf.DUMMYFUNCTION("""COMPUTED_VALUE"""),"TOTAL")</f>
        <v>TOTAL</v>
      </c>
      <c r="C3" s="117"/>
      <c r="D3" s="117"/>
      <c r="E3" s="117"/>
      <c r="F3" s="117"/>
      <c r="G3" s="103"/>
    </row>
    <row r="4" spans="1:7" ht="22.5" customHeight="1" x14ac:dyDescent="0.25">
      <c r="A4" s="118" t="str">
        <f ca="1">IFERROR(__xludf.DUMMYFUNCTION("""COMPUTED_VALUE"""),"AGUA MANZANA H20")</f>
        <v>AGUA MANZANA H20</v>
      </c>
      <c r="B4" s="118">
        <f ca="1">IFERROR(__xludf.DUMMYFUNCTION("""COMPUTED_VALUE"""),9)</f>
        <v>9</v>
      </c>
      <c r="C4" s="119">
        <f ca="1">IFERROR(__xludf.DUMMYFUNCTION("INDEX(RECETAS!E:E, MAX(FILTER(ROW(RECETAS!A:A), RECETAS!A:A=A4)) + 1)"),717.358333333333)</f>
        <v>717.35833333333301</v>
      </c>
      <c r="D4" s="119">
        <f t="shared" ref="D4:D42" ca="1" si="0">C4*B4</f>
        <v>6456.2249999999967</v>
      </c>
      <c r="E4" s="119" t="e">
        <f>#REF!</f>
        <v>#REF!</v>
      </c>
      <c r="F4" s="119" t="e">
        <f>#REF!</f>
        <v>#REF!</v>
      </c>
      <c r="G4" s="103"/>
    </row>
    <row r="5" spans="1:7" ht="22.5" customHeight="1" x14ac:dyDescent="0.25">
      <c r="A5" s="118" t="str">
        <f ca="1">IFERROR(__xludf.DUMMYFUNCTION("""COMPUTED_VALUE"""),"AGUA MINERAL")</f>
        <v>AGUA MINERAL</v>
      </c>
      <c r="B5" s="118">
        <f ca="1">IFERROR(__xludf.DUMMYFUNCTION("""COMPUTED_VALUE"""),45)</f>
        <v>45</v>
      </c>
      <c r="C5" s="119">
        <f ca="1">IFERROR(__xludf.DUMMYFUNCTION("INDEX(RECETAS!E:E, MAX(FILTER(ROW(RECETAS!A:A), RECETAS!A:A=A5)) + 1)"),920.664166666666)</f>
        <v>920.66416666666601</v>
      </c>
      <c r="D5" s="119">
        <f t="shared" ca="1" si="0"/>
        <v>41429.887499999968</v>
      </c>
      <c r="E5" s="119"/>
      <c r="F5" s="119"/>
      <c r="G5" s="103"/>
    </row>
    <row r="6" spans="1:7" ht="22.5" customHeight="1" x14ac:dyDescent="0.25">
      <c r="A6" s="118" t="str">
        <f ca="1">IFERROR(__xludf.DUMMYFUNCTION("""COMPUTED_VALUE"""),"AGUA POMELO H20")</f>
        <v>AGUA POMELO H20</v>
      </c>
      <c r="B6" s="118">
        <f ca="1">IFERROR(__xludf.DUMMYFUNCTION("""COMPUTED_VALUE"""),40)</f>
        <v>40</v>
      </c>
      <c r="C6" s="119">
        <f ca="1">IFERROR(__xludf.DUMMYFUNCTION("INDEX(RECETAS!E:E, MAX(FILTER(ROW(RECETAS!A:A), RECETAS!A:A=A6)) + 1)"),717.375)</f>
        <v>717.375</v>
      </c>
      <c r="D6" s="119">
        <f t="shared" ca="1" si="0"/>
        <v>28695</v>
      </c>
      <c r="E6" s="119"/>
      <c r="F6" s="119"/>
      <c r="G6" s="103"/>
    </row>
    <row r="7" spans="1:7" ht="22.5" customHeight="1" x14ac:dyDescent="0.25">
      <c r="A7" s="118" t="str">
        <f ca="1">IFERROR(__xludf.DUMMYFUNCTION("""COMPUTED_VALUE"""),"AMERICAN BURGER")</f>
        <v>AMERICAN BURGER</v>
      </c>
      <c r="B7" s="118">
        <f ca="1">IFERROR(__xludf.DUMMYFUNCTION("""COMPUTED_VALUE"""),87)</f>
        <v>87</v>
      </c>
      <c r="C7" s="119">
        <f ca="1">IFERROR(__xludf.DUMMYFUNCTION("INDEX(RECETAS!E:E, MAX(FILTER(ROW(RECETAS!A:A), RECETAS!A:A=A7)) + 1)"),5886.03157939627)</f>
        <v>5886.03157939627</v>
      </c>
      <c r="D7" s="119">
        <f t="shared" ca="1" si="0"/>
        <v>512084.74740747549</v>
      </c>
      <c r="E7" s="119"/>
      <c r="F7" s="119"/>
      <c r="G7" s="103"/>
    </row>
    <row r="8" spans="1:7" ht="22.5" customHeight="1" x14ac:dyDescent="0.25">
      <c r="A8" s="118" t="str">
        <f ca="1">IFERROR(__xludf.DUMMYFUNCTION("""COMPUTED_VALUE"""),"AROS DE CEBOLLA")</f>
        <v>AROS DE CEBOLLA</v>
      </c>
      <c r="B8" s="118">
        <f ca="1">IFERROR(__xludf.DUMMYFUNCTION("""COMPUTED_VALUE"""),7)</f>
        <v>7</v>
      </c>
      <c r="C8" s="119">
        <f ca="1">IFERROR(__xludf.DUMMYFUNCTION("INDEX(RECETAS!E:E, MAX(FILTER(ROW(RECETAS!A:A), RECETAS!A:A=A8)) + 1)"),2027.49327948717)</f>
        <v>2027.49327948717</v>
      </c>
      <c r="D8" s="119">
        <f t="shared" ca="1" si="0"/>
        <v>14192.45295641019</v>
      </c>
      <c r="E8" s="119"/>
      <c r="F8" s="119"/>
      <c r="G8" s="103"/>
    </row>
    <row r="9" spans="1:7" ht="22.5" customHeight="1" x14ac:dyDescent="0.25">
      <c r="A9" s="118" t="str">
        <f ca="1">IFERROR(__xludf.DUMMYFUNCTION("""COMPUTED_VALUE"""),"BLUE CHEESE")</f>
        <v>BLUE CHEESE</v>
      </c>
      <c r="B9" s="118">
        <f ca="1">IFERROR(__xludf.DUMMYFUNCTION("""COMPUTED_VALUE"""),35)</f>
        <v>35</v>
      </c>
      <c r="C9" s="119">
        <f ca="1">IFERROR(__xludf.DUMMYFUNCTION("INDEX(RECETAS!E:E, MAX(FILTER(ROW(RECETAS!A:A), RECETAS!A:A=A9)) + 1)"),5298.53157939627)</f>
        <v>5298.53157939627</v>
      </c>
      <c r="D9" s="119">
        <f t="shared" ca="1" si="0"/>
        <v>185448.60527886945</v>
      </c>
      <c r="E9" s="119"/>
      <c r="F9" s="119"/>
      <c r="G9" s="103"/>
    </row>
    <row r="10" spans="1:7" ht="22.5" customHeight="1" x14ac:dyDescent="0.25">
      <c r="A10" s="118" t="str">
        <f ca="1">IFERROR(__xludf.DUMMYFUNCTION("""COMPUTED_VALUE"""),"BOTELLA DE CERVEZA")</f>
        <v>BOTELLA DE CERVEZA</v>
      </c>
      <c r="B10" s="118">
        <f ca="1">IFERROR(__xludf.DUMMYFUNCTION("""COMPUTED_VALUE"""),11)</f>
        <v>11</v>
      </c>
      <c r="C10" s="119">
        <f ca="1">IFERROR(__xludf.DUMMYFUNCTION("INDEX(RECETAS!E:E, MAX(FILTER(ROW(RECETAS!A:A), RECETAS!A:A=A10)) + 1)"),1899.93933333333)</f>
        <v>1899.9393333333301</v>
      </c>
      <c r="D10" s="119">
        <f t="shared" ca="1" si="0"/>
        <v>20899.332666666633</v>
      </c>
      <c r="E10" s="119"/>
      <c r="F10" s="119"/>
      <c r="G10" s="103"/>
    </row>
    <row r="11" spans="1:7" ht="22.5" customHeight="1" x14ac:dyDescent="0.25">
      <c r="A11" s="118" t="str">
        <f ca="1">IFERROR(__xludf.DUMMYFUNCTION("""COMPUTED_VALUE"""),"CHEESE BACON")</f>
        <v>CHEESE BACON</v>
      </c>
      <c r="B11" s="118">
        <f ca="1">IFERROR(__xludf.DUMMYFUNCTION("""COMPUTED_VALUE"""),172)</f>
        <v>172</v>
      </c>
      <c r="C11" s="119">
        <f ca="1">IFERROR(__xludf.DUMMYFUNCTION("INDEX(RECETAS!E:E, MAX(FILTER(ROW(RECETAS!A:A), RECETAS!A:A=A11)) + 1)"),5183.03047939627)</f>
        <v>5183.0304793962696</v>
      </c>
      <c r="D11" s="119">
        <f t="shared" ca="1" si="0"/>
        <v>891481.24245615839</v>
      </c>
      <c r="E11" s="119"/>
      <c r="F11" s="119"/>
      <c r="G11" s="103"/>
    </row>
    <row r="12" spans="1:7" ht="22.5" customHeight="1" x14ac:dyDescent="0.25">
      <c r="A12" s="118" t="str">
        <f ca="1">IFERROR(__xludf.DUMMYFUNCTION("""COMPUTED_VALUE"""),"CHEESE BURGER")</f>
        <v>CHEESE BURGER</v>
      </c>
      <c r="B12" s="118">
        <f ca="1">IFERROR(__xludf.DUMMYFUNCTION("""COMPUTED_VALUE"""),3)</f>
        <v>3</v>
      </c>
      <c r="C12" s="119">
        <f ca="1">IFERROR(__xludf.DUMMYFUNCTION("INDEX(RECETAS!E:E, MAX(FILTER(ROW(RECETAS!A:A), RECETAS!A:A=A12)) + 1)"),5073.90657939627)</f>
        <v>5073.90657939627</v>
      </c>
      <c r="D12" s="119">
        <f t="shared" ca="1" si="0"/>
        <v>15221.719738188811</v>
      </c>
      <c r="E12" s="119"/>
      <c r="F12" s="119"/>
      <c r="G12" s="103"/>
    </row>
    <row r="13" spans="1:7" ht="22.5" customHeight="1" x14ac:dyDescent="0.25">
      <c r="A13" s="118" t="str">
        <f ca="1">IFERROR(__xludf.DUMMYFUNCTION("""COMPUTED_VALUE"""),"CHEESE BURGER CANJE")</f>
        <v>CHEESE BURGER CANJE</v>
      </c>
      <c r="B13" s="118">
        <f ca="1">IFERROR(__xludf.DUMMYFUNCTION("""COMPUTED_VALUE"""),8)</f>
        <v>8</v>
      </c>
      <c r="C13" s="119">
        <f ca="1">IFERROR(__xludf.DUMMYFUNCTION("INDEX(RECETAS!E:E, MAX(FILTER(ROW(RECETAS!A:A), RECETAS!A:A=A13)) + 1)"),2086.06704059829)</f>
        <v>2086.0670405982901</v>
      </c>
      <c r="D13" s="119">
        <f t="shared" ca="1" si="0"/>
        <v>16688.536324786321</v>
      </c>
      <c r="E13" s="119"/>
      <c r="F13" s="119"/>
      <c r="G13" s="103"/>
    </row>
    <row r="14" spans="1:7" ht="22.5" customHeight="1" x14ac:dyDescent="0.25">
      <c r="A14" s="118" t="str">
        <f ca="1">IFERROR(__xludf.DUMMYFUNCTION("""COMPUTED_VALUE"""),"CRISPY BURGER")</f>
        <v>CRISPY BURGER</v>
      </c>
      <c r="B14" s="118">
        <f ca="1">IFERROR(__xludf.DUMMYFUNCTION("""COMPUTED_VALUE"""),51)</f>
        <v>51</v>
      </c>
      <c r="C14" s="119">
        <f ca="1">IFERROR(__xludf.DUMMYFUNCTION("INDEX(RECETAS!E:E, MAX(FILTER(ROW(RECETAS!A:A), RECETAS!A:A=A14)) + 1)"),5233.03047939627)</f>
        <v>5233.0304793962696</v>
      </c>
      <c r="D14" s="119">
        <f t="shared" ca="1" si="0"/>
        <v>266884.55444920977</v>
      </c>
      <c r="E14" s="119"/>
      <c r="F14" s="119"/>
      <c r="G14" s="103"/>
    </row>
    <row r="15" spans="1:7" ht="22.5" customHeight="1" x14ac:dyDescent="0.25">
      <c r="A15" s="118" t="str">
        <f ca="1">IFERROR(__xludf.DUMMYFUNCTION("""COMPUTED_VALUE"""),"DOBLE CUARTO")</f>
        <v>DOBLE CUARTO</v>
      </c>
      <c r="B15" s="118">
        <f ca="1">IFERROR(__xludf.DUMMYFUNCTION("""COMPUTED_VALUE"""),50)</f>
        <v>50</v>
      </c>
      <c r="C15" s="119">
        <f ca="1">IFERROR(__xludf.DUMMYFUNCTION("INDEX(RECETAS!E:E, MAX(FILTER(ROW(RECETAS!A:A), RECETAS!A:A=A15)) + 1)"),5326.66684303263)</f>
        <v>5326.6668430326299</v>
      </c>
      <c r="D15" s="119">
        <f t="shared" ca="1" si="0"/>
        <v>266333.34215163148</v>
      </c>
      <c r="E15" s="119"/>
      <c r="F15" s="119"/>
      <c r="G15" s="103"/>
    </row>
    <row r="16" spans="1:7" ht="22.5" customHeight="1" x14ac:dyDescent="0.25">
      <c r="A16" s="118" t="str">
        <f ca="1">IFERROR(__xludf.DUMMYFUNCTION("""COMPUTED_VALUE"""),"EXTRA MEDALLON")</f>
        <v>EXTRA MEDALLON</v>
      </c>
      <c r="B16" s="118">
        <f ca="1">IFERROR(__xludf.DUMMYFUNCTION("""COMPUTED_VALUE"""),3)</f>
        <v>3</v>
      </c>
      <c r="C16" s="119">
        <f ca="1">IFERROR(__xludf.DUMMYFUNCTION("INDEX(RECETAS!E:E, MAX(FILTER(ROW(RECETAS!A:A), RECETAS!A:A=A16)) + 1)"),1421.75)</f>
        <v>1421.75</v>
      </c>
      <c r="D16" s="119">
        <f t="shared" ca="1" si="0"/>
        <v>4265.25</v>
      </c>
      <c r="E16" s="119"/>
      <c r="F16" s="119"/>
      <c r="G16" s="103"/>
    </row>
    <row r="17" spans="1:7" ht="22.5" customHeight="1" x14ac:dyDescent="0.25">
      <c r="A17" s="118" t="str">
        <f ca="1">IFERROR(__xludf.DUMMYFUNCTION("""COMPUTED_VALUE"""),"HUMPTY BURGER")</f>
        <v>HUMPTY BURGER</v>
      </c>
      <c r="B17" s="118">
        <f ca="1">IFERROR(__xludf.DUMMYFUNCTION("""COMPUTED_VALUE"""),74)</f>
        <v>74</v>
      </c>
      <c r="C17" s="119">
        <f ca="1">IFERROR(__xludf.DUMMYFUNCTION("INDEX(RECETAS!E:E, MAX(FILTER(ROW(RECETAS!A:A), RECETAS!A:A=A17)) + 1)"),5409.69714606293)</f>
        <v>5409.6971460629302</v>
      </c>
      <c r="D17" s="119">
        <f t="shared" ca="1" si="0"/>
        <v>400317.58880865684</v>
      </c>
      <c r="E17" s="119"/>
      <c r="F17" s="119"/>
      <c r="G17" s="103"/>
    </row>
    <row r="18" spans="1:7" ht="22.5" customHeight="1" x14ac:dyDescent="0.25">
      <c r="A18" s="118" t="str">
        <f ca="1">IFERROR(__xludf.DUMMYFUNCTION("""COMPUTED_VALUE"""),"JIMMY BURGER")</f>
        <v>JIMMY BURGER</v>
      </c>
      <c r="B18" s="118">
        <f ca="1">IFERROR(__xludf.DUMMYFUNCTION("""COMPUTED_VALUE"""),34)</f>
        <v>34</v>
      </c>
      <c r="C18" s="119">
        <f ca="1">IFERROR(__xludf.DUMMYFUNCTION("INDEX(RECETAS!E:E, MAX(FILTER(ROW(RECETAS!A:A), RECETAS!A:A=A18)) + 1)"),3923.49054884071)</f>
        <v>3923.4905488407098</v>
      </c>
      <c r="D18" s="119">
        <f t="shared" ca="1" si="0"/>
        <v>133398.67866058415</v>
      </c>
      <c r="E18" s="119"/>
      <c r="F18" s="119"/>
      <c r="G18" s="103"/>
    </row>
    <row r="19" spans="1:7" ht="22.5" customHeight="1" x14ac:dyDescent="0.25">
      <c r="A19" s="118" t="str">
        <f ca="1">IFERROR(__xludf.DUMMYFUNCTION("""COMPUTED_VALUE"""),"MEDALLON VEGGIE")</f>
        <v>MEDALLON VEGGIE</v>
      </c>
      <c r="B19" s="118">
        <f ca="1">IFERROR(__xludf.DUMMYFUNCTION("""COMPUTED_VALUE"""),1)</f>
        <v>1</v>
      </c>
      <c r="C19" s="119">
        <f ca="1">IFERROR(__xludf.DUMMYFUNCTION("INDEX(RECETAS!E:E, MAX(FILTER(ROW(RECETAS!A:A), RECETAS!A:A=A19)) + 1)"),700)</f>
        <v>700</v>
      </c>
      <c r="D19" s="119">
        <f t="shared" ca="1" si="0"/>
        <v>700</v>
      </c>
      <c r="E19" s="119"/>
      <c r="F19" s="119"/>
      <c r="G19" s="103"/>
    </row>
    <row r="20" spans="1:7" ht="22.5" customHeight="1" x14ac:dyDescent="0.25">
      <c r="A20" s="118" t="str">
        <f ca="1">IFERROR(__xludf.DUMMYFUNCTION("""COMPUTED_VALUE"""),"MEDIA PINTA DE CERVEZA")</f>
        <v>MEDIA PINTA DE CERVEZA</v>
      </c>
      <c r="B20" s="118">
        <f ca="1">IFERROR(__xludf.DUMMYFUNCTION("""COMPUTED_VALUE"""),64)</f>
        <v>64</v>
      </c>
      <c r="C20" s="119">
        <f ca="1">IFERROR(__xludf.DUMMYFUNCTION("INDEX(RECETAS!E:E, MAX(FILTER(ROW(RECETAS!A:A), RECETAS!A:A=A20)) + 1)"),949.969666666666)</f>
        <v>949.96966666666594</v>
      </c>
      <c r="D20" s="119">
        <f t="shared" ca="1" si="0"/>
        <v>60798.05866666662</v>
      </c>
      <c r="E20" s="119"/>
      <c r="F20" s="119"/>
      <c r="G20" s="103"/>
    </row>
    <row r="21" spans="1:7" ht="22.5" customHeight="1" x14ac:dyDescent="0.25">
      <c r="A21" s="118" t="str">
        <f ca="1">IFERROR(__xludf.DUMMYFUNCTION("""COMPUTED_VALUE"""),"MIGI BURGER")</f>
        <v>MIGI BURGER</v>
      </c>
      <c r="B21" s="118">
        <f ca="1">IFERROR(__xludf.DUMMYFUNCTION("""COMPUTED_VALUE"""),164)</f>
        <v>164</v>
      </c>
      <c r="C21" s="119">
        <f ca="1">IFERROR(__xludf.DUMMYFUNCTION("INDEX(RECETAS!E:E, MAX(FILTER(ROW(RECETAS!A:A), RECETAS!A:A=A21)) + 1)"),4209.03157939627)</f>
        <v>4209.03157939627</v>
      </c>
      <c r="D21" s="119">
        <f t="shared" ca="1" si="0"/>
        <v>690281.17902098829</v>
      </c>
      <c r="E21" s="119"/>
      <c r="F21" s="119"/>
      <c r="G21" s="103"/>
    </row>
    <row r="22" spans="1:7" ht="22.5" customHeight="1" x14ac:dyDescent="0.25">
      <c r="A22" s="118" t="str">
        <f ca="1">IFERROR(__xludf.DUMMYFUNCTION("""COMPUTED_VALUE"""),"MIRINDA")</f>
        <v>MIRINDA</v>
      </c>
      <c r="B22" s="118">
        <f ca="1">IFERROR(__xludf.DUMMYFUNCTION("""COMPUTED_VALUE"""),36)</f>
        <v>36</v>
      </c>
      <c r="C22" s="119">
        <f ca="1">IFERROR(__xludf.DUMMYFUNCTION("INDEX(RECETAS!E:E, MAX(FILTER(ROW(RECETAS!A:A), RECETAS!A:A=A22)) + 1)"),758.113333333333)</f>
        <v>758.113333333333</v>
      </c>
      <c r="D22" s="119">
        <f t="shared" ca="1" si="0"/>
        <v>27292.079999999987</v>
      </c>
      <c r="E22" s="119"/>
      <c r="F22" s="119"/>
      <c r="G22" s="103"/>
    </row>
    <row r="23" spans="1:7" ht="22.5" customHeight="1" x14ac:dyDescent="0.25">
      <c r="A23" s="118" t="str">
        <f ca="1">IFERROR(__xludf.DUMMYFUNCTION("""COMPUTED_VALUE"""),"MOBY DICK")</f>
        <v>MOBY DICK</v>
      </c>
      <c r="B23" s="118">
        <f ca="1">IFERROR(__xludf.DUMMYFUNCTION("""COMPUTED_VALUE"""),70)</f>
        <v>70</v>
      </c>
      <c r="C23" s="119">
        <f ca="1">IFERROR(__xludf.DUMMYFUNCTION("INDEX(RECETAS!E:E, MAX(FILTER(ROW(RECETAS!A:A), RECETAS!A:A=A23)) + 1)"),8562.10924050738)</f>
        <v>8562.1092405073796</v>
      </c>
      <c r="D23" s="119">
        <f t="shared" ca="1" si="0"/>
        <v>599347.64683551656</v>
      </c>
      <c r="E23" s="119"/>
      <c r="F23" s="119"/>
      <c r="G23" s="103"/>
    </row>
    <row r="24" spans="1:7" ht="22.5" customHeight="1" x14ac:dyDescent="0.25">
      <c r="A24" s="118" t="str">
        <f ca="1">IFERROR(__xludf.DUMMYFUNCTION("""COMPUTED_VALUE"""),"NUGGETS X 10")</f>
        <v>NUGGETS X 10</v>
      </c>
      <c r="B24" s="118">
        <f ca="1">IFERROR(__xludf.DUMMYFUNCTION("""COMPUTED_VALUE"""),12)</f>
        <v>12</v>
      </c>
      <c r="C24" s="119">
        <f ca="1">IFERROR(__xludf.DUMMYFUNCTION("INDEX(RECETAS!E:E, MAX(FILTER(ROW(RECETAS!A:A), RECETAS!A:A=A24)) + 1)"),2756.21051282051)</f>
        <v>2756.2105128205098</v>
      </c>
      <c r="D24" s="119">
        <f t="shared" ca="1" si="0"/>
        <v>33074.52615384612</v>
      </c>
      <c r="E24" s="119"/>
      <c r="F24" s="119"/>
      <c r="G24" s="103"/>
    </row>
    <row r="25" spans="1:7" ht="22.5" customHeight="1" x14ac:dyDescent="0.25">
      <c r="A25" s="118" t="str">
        <f ca="1">IFERROR(__xludf.DUMMYFUNCTION("""COMPUTED_VALUE"""),"NUGGETS X 6")</f>
        <v>NUGGETS X 6</v>
      </c>
      <c r="B25" s="118">
        <f ca="1">IFERROR(__xludf.DUMMYFUNCTION("""COMPUTED_VALUE"""),5)</f>
        <v>5</v>
      </c>
      <c r="C25" s="119">
        <f ca="1">IFERROR(__xludf.DUMMYFUNCTION("INDEX(RECETAS!E:E, MAX(FILTER(ROW(RECETAS!A:A), RECETAS!A:A=A25)) + 1)"),1680.52117948717)</f>
        <v>1680.52117948717</v>
      </c>
      <c r="D25" s="119">
        <f t="shared" ca="1" si="0"/>
        <v>8402.6058974358493</v>
      </c>
      <c r="E25" s="119"/>
      <c r="F25" s="119"/>
      <c r="G25" s="103"/>
    </row>
    <row r="26" spans="1:7" ht="22.5" customHeight="1" x14ac:dyDescent="0.25">
      <c r="A26" s="118" t="str">
        <f ca="1">IFERROR(__xludf.DUMMYFUNCTION("""COMPUTED_VALUE"""),"ONION RINGS BURGER")</f>
        <v>ONION RINGS BURGER</v>
      </c>
      <c r="B26" s="118">
        <f ca="1">IFERROR(__xludf.DUMMYFUNCTION("""COMPUTED_VALUE"""),26)</f>
        <v>26</v>
      </c>
      <c r="C26" s="119">
        <f ca="1">IFERROR(__xludf.DUMMYFUNCTION("INDEX(RECETAS!E:E, MAX(FILTER(ROW(RECETAS!A:A), RECETAS!A:A=A26)) + 1)"),5660.1693127296)</f>
        <v>5660.1693127296003</v>
      </c>
      <c r="D26" s="119">
        <f t="shared" ca="1" si="0"/>
        <v>147164.4021309696</v>
      </c>
      <c r="E26" s="119"/>
      <c r="F26" s="119"/>
      <c r="G26" s="103"/>
    </row>
    <row r="27" spans="1:7" ht="22.5" customHeight="1" x14ac:dyDescent="0.25">
      <c r="A27" s="118" t="str">
        <f ca="1">IFERROR(__xludf.DUMMYFUNCTION("""COMPUTED_VALUE"""),"PEPSI  ")</f>
        <v xml:space="preserve">PEPSI  </v>
      </c>
      <c r="B27" s="118">
        <f ca="1">IFERROR(__xludf.DUMMYFUNCTION("""COMPUTED_VALUE"""),204)</f>
        <v>204</v>
      </c>
      <c r="C27" s="119">
        <f ca="1">IFERROR(__xludf.DUMMYFUNCTION("INDEX(RECETAS!E:E, MAX(FILTER(ROW(RECETAS!A:A), RECETAS!A:A=A27)) + 1)"),770.53)</f>
        <v>770.53</v>
      </c>
      <c r="D27" s="119">
        <f t="shared" ca="1" si="0"/>
        <v>157188.12</v>
      </c>
      <c r="E27" s="119"/>
      <c r="F27" s="119"/>
      <c r="G27" s="103"/>
    </row>
    <row r="28" spans="1:7" ht="22.5" customHeight="1" x14ac:dyDescent="0.25">
      <c r="A28" s="118" t="str">
        <f ca="1">IFERROR(__xludf.DUMMYFUNCTION("""COMPUTED_VALUE"""),"PEPSI BLACK")</f>
        <v>PEPSI BLACK</v>
      </c>
      <c r="B28" s="118">
        <f ca="1">IFERROR(__xludf.DUMMYFUNCTION("""COMPUTED_VALUE"""),43)</f>
        <v>43</v>
      </c>
      <c r="C28" s="119">
        <f ca="1">IFERROR(__xludf.DUMMYFUNCTION("INDEX(RECETAS!E:E, MAX(FILTER(ROW(RECETAS!A:A), RECETAS!A:A=A28)) + 1)"),758.1)</f>
        <v>758.1</v>
      </c>
      <c r="D28" s="119">
        <f t="shared" ca="1" si="0"/>
        <v>32598.3</v>
      </c>
      <c r="E28" s="119"/>
      <c r="F28" s="119"/>
      <c r="G28" s="103"/>
    </row>
    <row r="29" spans="1:7" ht="22.5" customHeight="1" x14ac:dyDescent="0.25">
      <c r="A29" s="118" t="str">
        <f ca="1">IFERROR(__xludf.DUMMYFUNCTION("""COMPUTED_VALUE"""),"PINTA DE CERVEZA")</f>
        <v>PINTA DE CERVEZA</v>
      </c>
      <c r="B29" s="118">
        <f ca="1">IFERROR(__xludf.DUMMYFUNCTION("""COMPUTED_VALUE"""),2)</f>
        <v>2</v>
      </c>
      <c r="C29" s="119">
        <f ca="1">IFERROR(__xludf.DUMMYFUNCTION("INDEX(RECETAS!E:E, MAX(FILTER(ROW(RECETAS!A:A), RECETAS!A:A=A29)) + 1)"),1899.93933333333)</f>
        <v>1899.9393333333301</v>
      </c>
      <c r="D29" s="119">
        <f t="shared" ca="1" si="0"/>
        <v>3799.8786666666601</v>
      </c>
      <c r="E29" s="119"/>
      <c r="F29" s="119"/>
      <c r="G29" s="103"/>
    </row>
    <row r="30" spans="1:7" ht="22.5" customHeight="1" x14ac:dyDescent="0.25">
      <c r="A30" s="118" t="str">
        <f ca="1">IFERROR(__xludf.DUMMYFUNCTION("""COMPUTED_VALUE"""),"PORCION DE PAPAS")</f>
        <v>PORCION DE PAPAS</v>
      </c>
      <c r="B30" s="118">
        <f ca="1">IFERROR(__xludf.DUMMYFUNCTION("""COMPUTED_VALUE"""),19)</f>
        <v>19</v>
      </c>
      <c r="C30" s="119">
        <f ca="1">IFERROR(__xludf.DUMMYFUNCTION("INDEX(RECETAS!E:E, MAX(FILTER(ROW(RECETAS!A:A), RECETAS!A:A=A30)) + 1)"),2292.92034615384)</f>
        <v>2292.92034615384</v>
      </c>
      <c r="D30" s="119">
        <f t="shared" ca="1" si="0"/>
        <v>43565.486576922958</v>
      </c>
      <c r="E30" s="119"/>
      <c r="F30" s="119"/>
      <c r="G30" s="103"/>
    </row>
    <row r="31" spans="1:7" ht="22.5" customHeight="1" x14ac:dyDescent="0.25">
      <c r="A31" s="118" t="str">
        <f ca="1">IFERROR(__xludf.DUMMYFUNCTION("""COMPUTED_VALUE"""),"PORCION DE PAPAS CON CHEDDAR Y BACON")</f>
        <v>PORCION DE PAPAS CON CHEDDAR Y BACON</v>
      </c>
      <c r="B31" s="118">
        <f ca="1">IFERROR(__xludf.DUMMYFUNCTION("""COMPUTED_VALUE"""),6)</f>
        <v>6</v>
      </c>
      <c r="C31" s="119">
        <f ca="1">IFERROR(__xludf.DUMMYFUNCTION("INDEX(RECETAS!E:E, MAX(FILTER(ROW(RECETAS!A:A), RECETAS!A:A=A31)) + 1)"),3229.7962032967)</f>
        <v>3229.7962032966998</v>
      </c>
      <c r="D31" s="119">
        <f t="shared" ca="1" si="0"/>
        <v>19378.777219780197</v>
      </c>
      <c r="E31" s="119"/>
      <c r="F31" s="119"/>
      <c r="G31" s="103"/>
    </row>
    <row r="32" spans="1:7" ht="22.5" customHeight="1" x14ac:dyDescent="0.25">
      <c r="A32" s="118" t="str">
        <f ca="1">IFERROR(__xludf.DUMMYFUNCTION("""COMPUTED_VALUE"""),"PORCION DE PAPAS Y CHEDDAR")</f>
        <v>PORCION DE PAPAS Y CHEDDAR</v>
      </c>
      <c r="B32" s="118">
        <f ca="1">IFERROR(__xludf.DUMMYFUNCTION("""COMPUTED_VALUE"""),7)</f>
        <v>7</v>
      </c>
      <c r="C32" s="119">
        <f ca="1">IFERROR(__xludf.DUMMYFUNCTION("INDEX(RECETAS!E:E, MAX(FILTER(ROW(RECETAS!A:A), RECETAS!A:A=A32)) + 1)"),2948.1332032967)</f>
        <v>2948.1332032966998</v>
      </c>
      <c r="D32" s="119">
        <f t="shared" ca="1" si="0"/>
        <v>20636.932423076898</v>
      </c>
      <c r="E32" s="119"/>
      <c r="F32" s="119"/>
      <c r="G32" s="103"/>
    </row>
    <row r="33" spans="1:7" ht="22.5" customHeight="1" x14ac:dyDescent="0.25">
      <c r="A33" s="118" t="str">
        <f ca="1">IFERROR(__xludf.DUMMYFUNCTION("""COMPUTED_VALUE"""),"POSTRE CHOCOTORTA")</f>
        <v>POSTRE CHOCOTORTA</v>
      </c>
      <c r="B33" s="118">
        <f ca="1">IFERROR(__xludf.DUMMYFUNCTION("""COMPUTED_VALUE"""),13)</f>
        <v>13</v>
      </c>
      <c r="C33" s="119">
        <f ca="1">IFERROR(__xludf.DUMMYFUNCTION("INDEX(RECETAS!E:E, MAX(FILTER(ROW(RECETAS!A:A), RECETAS!A:A=A33)) + 1)"),2800)</f>
        <v>2800</v>
      </c>
      <c r="D33" s="119">
        <f t="shared" ca="1" si="0"/>
        <v>36400</v>
      </c>
      <c r="E33" s="119"/>
      <c r="F33" s="119"/>
      <c r="G33" s="103"/>
    </row>
    <row r="34" spans="1:7" ht="30" customHeight="1" x14ac:dyDescent="0.25">
      <c r="A34" s="118" t="str">
        <f ca="1">IFERROR(__xludf.DUMMYFUNCTION("""COMPUTED_VALUE"""),"POSTRE OREO")</f>
        <v>POSTRE OREO</v>
      </c>
      <c r="B34" s="118">
        <f ca="1">IFERROR(__xludf.DUMMYFUNCTION("""COMPUTED_VALUE"""),12)</f>
        <v>12</v>
      </c>
      <c r="C34" s="119">
        <f ca="1">IFERROR(__xludf.DUMMYFUNCTION("INDEX(RECETAS!E:E, MAX(FILTER(ROW(RECETAS!A:A), RECETAS!A:A=A34)) + 1)"),2800)</f>
        <v>2800</v>
      </c>
      <c r="D34" s="119">
        <f t="shared" ca="1" si="0"/>
        <v>33600</v>
      </c>
      <c r="E34" s="120"/>
      <c r="F34" s="121"/>
      <c r="G34" s="115"/>
    </row>
    <row r="35" spans="1:7" ht="30" customHeight="1" x14ac:dyDescent="0.25">
      <c r="A35" s="118" t="str">
        <f ca="1">IFERROR(__xludf.DUMMYFUNCTION("""COMPUTED_VALUE"""),"PULLED PORK")</f>
        <v>PULLED PORK</v>
      </c>
      <c r="B35" s="118">
        <f ca="1">IFERROR(__xludf.DUMMYFUNCTION("""COMPUTED_VALUE"""),63)</f>
        <v>63</v>
      </c>
      <c r="C35" s="119">
        <f ca="1">IFERROR(__xludf.DUMMYFUNCTION("INDEX(RECETAS!E:E, MAX(FILTER(ROW(RECETAS!A:A), RECETAS!A:A=A35)) + 1)"),2652.60312106293)</f>
        <v>2652.6031210629299</v>
      </c>
      <c r="D35" s="119">
        <f t="shared" ca="1" si="0"/>
        <v>167113.9966269646</v>
      </c>
      <c r="E35" s="120"/>
      <c r="F35" s="121"/>
      <c r="G35" s="115"/>
    </row>
    <row r="36" spans="1:7" ht="30" customHeight="1" x14ac:dyDescent="0.25">
      <c r="A36" s="118" t="str">
        <f ca="1">IFERROR(__xludf.DUMMYFUNCTION("""COMPUTED_VALUE"""),"SEVEN-UP")</f>
        <v>SEVEN-UP</v>
      </c>
      <c r="B36" s="118">
        <f ca="1">IFERROR(__xludf.DUMMYFUNCTION("""COMPUTED_VALUE"""),126)</f>
        <v>126</v>
      </c>
      <c r="C36" s="119">
        <f ca="1">IFERROR(__xludf.DUMMYFUNCTION("INDEX(RECETAS!E:E, MAX(FILTER(ROW(RECETAS!A:A), RECETAS!A:A=A36)) + 1)"),758.113333333333)</f>
        <v>758.113333333333</v>
      </c>
      <c r="D36" s="119">
        <f t="shared" ca="1" si="0"/>
        <v>95522.279999999955</v>
      </c>
      <c r="E36" s="122"/>
      <c r="F36" s="121"/>
      <c r="G36" s="115"/>
    </row>
    <row r="37" spans="1:7" ht="30" customHeight="1" x14ac:dyDescent="0.25">
      <c r="A37" s="118" t="str">
        <f ca="1">IFERROR(__xludf.DUMMYFUNCTION("""COMPUTED_VALUE"""),"SWEET BACON BURGER")</f>
        <v>SWEET BACON BURGER</v>
      </c>
      <c r="B37" s="118">
        <f ca="1">IFERROR(__xludf.DUMMYFUNCTION("""COMPUTED_VALUE"""),31)</f>
        <v>31</v>
      </c>
      <c r="C37" s="119">
        <f ca="1">IFERROR(__xludf.DUMMYFUNCTION("INDEX(RECETAS!E:E, MAX(FILTER(ROW(RECETAS!A:A), RECETAS!A:A=A37)) + 1)"),5148.53157939627)</f>
        <v>5148.53157939627</v>
      </c>
      <c r="D37" s="119">
        <f t="shared" ca="1" si="0"/>
        <v>159604.47896128436</v>
      </c>
      <c r="E37" s="122"/>
      <c r="F37" s="121"/>
      <c r="G37" s="115"/>
    </row>
    <row r="38" spans="1:7" ht="30" customHeight="1" x14ac:dyDescent="0.25">
      <c r="A38" s="118" t="str">
        <f ca="1">IFERROR(__xludf.DUMMYFUNCTION("""COMPUTED_VALUE"""),"SWEET ONION")</f>
        <v>SWEET ONION</v>
      </c>
      <c r="B38" s="118">
        <f ca="1">IFERROR(__xludf.DUMMYFUNCTION("""COMPUTED_VALUE"""),68)</f>
        <v>68</v>
      </c>
      <c r="C38" s="119">
        <f ca="1">IFERROR(__xludf.DUMMYFUNCTION("INDEX(RECETAS!E:E, MAX(FILTER(ROW(RECETAS!A:A), RECETAS!A:A=A38)) + 1)"),5183.03047939627)</f>
        <v>5183.0304793962696</v>
      </c>
      <c r="D38" s="119">
        <f t="shared" ca="1" si="0"/>
        <v>352446.07259894634</v>
      </c>
      <c r="E38" s="122"/>
      <c r="F38" s="121"/>
      <c r="G38" s="115"/>
    </row>
    <row r="39" spans="1:7" ht="30" customHeight="1" x14ac:dyDescent="0.25">
      <c r="A39" s="118" t="str">
        <f ca="1">IFERROR(__xludf.DUMMYFUNCTION("""COMPUTED_VALUE"""),"TASTY WLB")</f>
        <v>TASTY WLB</v>
      </c>
      <c r="B39" s="118">
        <f ca="1">IFERROR(__xludf.DUMMYFUNCTION("""COMPUTED_VALUE"""),41)</f>
        <v>41</v>
      </c>
      <c r="C39" s="119">
        <f ca="1">IFERROR(__xludf.DUMMYFUNCTION("INDEX(RECETAS!E:E, MAX(FILTER(ROW(RECETAS!A:A), RECETAS!A:A=A39)) + 1)"),5411.03157939627)</f>
        <v>5411.03157939627</v>
      </c>
      <c r="D39" s="119">
        <f t="shared" ca="1" si="0"/>
        <v>221852.29475524707</v>
      </c>
      <c r="E39" s="122"/>
      <c r="F39" s="121"/>
      <c r="G39" s="115"/>
    </row>
    <row r="40" spans="1:7" ht="30" customHeight="1" x14ac:dyDescent="0.25">
      <c r="A40" s="118" t="str">
        <f ca="1">IFERROR(__xludf.DUMMYFUNCTION("""COMPUTED_VALUE"""),"TRIPLE CHEESE BACON")</f>
        <v>TRIPLE CHEESE BACON</v>
      </c>
      <c r="B40" s="118">
        <f ca="1">IFERROR(__xludf.DUMMYFUNCTION("""COMPUTED_VALUE"""),64)</f>
        <v>64</v>
      </c>
      <c r="C40" s="119">
        <f ca="1">IFERROR(__xludf.DUMMYFUNCTION("INDEX(RECETAS!E:E, MAX(FILTER(ROW(RECETAS!A:A), RECETAS!A:A=A40)) + 1)"),6830.32040995182)</f>
        <v>6830.3204099518198</v>
      </c>
      <c r="D40" s="119">
        <f t="shared" ca="1" si="0"/>
        <v>437140.50623691647</v>
      </c>
      <c r="E40" s="120"/>
      <c r="F40" s="121"/>
      <c r="G40" s="115"/>
    </row>
    <row r="41" spans="1:7" ht="30" customHeight="1" x14ac:dyDescent="0.25">
      <c r="A41" s="118" t="str">
        <f ca="1">IFERROR(__xludf.DUMMYFUNCTION("""COMPUTED_VALUE"""),"VEGGIE BURGER")</f>
        <v>VEGGIE BURGER</v>
      </c>
      <c r="B41" s="118">
        <f ca="1">IFERROR(__xludf.DUMMYFUNCTION("""COMPUTED_VALUE"""),26)</f>
        <v>26</v>
      </c>
      <c r="C41" s="119">
        <f ca="1">IFERROR(__xludf.DUMMYFUNCTION("INDEX(RECETAS!E:E, MAX(FILTER(ROW(RECETAS!A:A), RECETAS!A:A=A41)) + 1)"),2674.4117877296)</f>
        <v>2674.4117877295998</v>
      </c>
      <c r="D41" s="119">
        <f t="shared" ca="1" si="0"/>
        <v>69534.706480969602</v>
      </c>
      <c r="E41" s="123"/>
      <c r="F41" s="124"/>
      <c r="G41" s="115"/>
    </row>
    <row r="42" spans="1:7" ht="30" customHeight="1" x14ac:dyDescent="0.25">
      <c r="A42" s="118"/>
      <c r="B42" s="118"/>
      <c r="C42" s="119" t="str">
        <f ca="1">IFERROR(__xludf.DUMMYFUNCTION("INDEX(RECETAS!E:E, MAX(FILTER(ROW(RECETAS!A:A), RECETAS!A:A=A42)) + 1)"),"")</f>
        <v/>
      </c>
      <c r="D42" s="119" t="e">
        <f t="shared" ca="1" si="0"/>
        <v>#VALUE!</v>
      </c>
      <c r="E42" s="123"/>
      <c r="F42" s="124"/>
      <c r="G42" s="115"/>
    </row>
    <row r="43" spans="1:7" ht="30" customHeight="1" x14ac:dyDescent="0.25">
      <c r="A43" s="126"/>
      <c r="B43" s="126"/>
      <c r="C43" s="127">
        <f ca="1">SUM(Tabla_3[COSTO UNITARIO])</f>
        <v>122558.6185896244</v>
      </c>
      <c r="D43" s="128" t="e">
        <f ca="1">SUM(D4:D42)</f>
        <v>#VALUE!</v>
      </c>
      <c r="E43" s="129" t="e">
        <f>E4+F4</f>
        <v>#REF!</v>
      </c>
      <c r="F43" s="130" t="e">
        <f ca="1">D43/E43</f>
        <v>#VALUE!</v>
      </c>
      <c r="G43" s="115"/>
    </row>
  </sheetData>
  <dataValidations count="1">
    <dataValidation type="custom" allowBlank="1" showDropDown="1" sqref="C2:C42" xr:uid="{00000000-0002-0000-04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43"/>
  <sheetViews>
    <sheetView showGridLines="0" workbookViewId="0"/>
  </sheetViews>
  <sheetFormatPr baseColWidth="10" defaultColWidth="12.6640625" defaultRowHeight="15.75" customHeight="1" x14ac:dyDescent="0.25"/>
  <cols>
    <col min="1" max="1" width="44.21875" customWidth="1"/>
    <col min="2" max="2" width="11.44140625" customWidth="1"/>
    <col min="3" max="3" width="17.33203125" customWidth="1"/>
    <col min="4" max="4" width="15.6640625" customWidth="1"/>
    <col min="5" max="5" width="16" customWidth="1"/>
    <col min="6" max="6" width="17" customWidth="1"/>
    <col min="7" max="7" width="29.109375" customWidth="1"/>
  </cols>
  <sheetData>
    <row r="1" spans="1:7" ht="22.5" customHeight="1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5</v>
      </c>
      <c r="F1" s="1" t="s">
        <v>134</v>
      </c>
      <c r="G1" s="103"/>
    </row>
    <row r="2" spans="1:7" ht="22.5" customHeight="1" x14ac:dyDescent="0.25">
      <c r="A2" s="104"/>
      <c r="B2" s="104"/>
      <c r="C2" s="104"/>
      <c r="D2" s="104"/>
      <c r="E2" s="116"/>
      <c r="F2" s="104"/>
      <c r="G2" s="103"/>
    </row>
    <row r="3" spans="1:7" ht="22.5" hidden="1" customHeight="1" x14ac:dyDescent="0.25">
      <c r="A3" s="117" t="str">
        <f ca="1">IFERROR(__xludf.DUMMYFUNCTION("QUERY(ResumenVentas!A:B, ""Select A, sum(B) where A is not null group by A label sum(B) 'TOTAL'"", 1)"),"Producto")</f>
        <v>Producto</v>
      </c>
      <c r="B3" s="1" t="str">
        <f ca="1">IFERROR(__xludf.DUMMYFUNCTION("""COMPUTED_VALUE"""),"TOTAL")</f>
        <v>TOTAL</v>
      </c>
      <c r="C3" s="117"/>
      <c r="D3" s="117"/>
      <c r="E3" s="117"/>
      <c r="F3" s="117"/>
      <c r="G3" s="103"/>
    </row>
    <row r="4" spans="1:7" ht="22.5" customHeight="1" x14ac:dyDescent="0.25">
      <c r="A4" s="118" t="str">
        <f ca="1">IFERROR(__xludf.DUMMYFUNCTION("""COMPUTED_VALUE"""),"AGUA MANZANA H20")</f>
        <v>AGUA MANZANA H20</v>
      </c>
      <c r="B4" s="118">
        <f ca="1">IFERROR(__xludf.DUMMYFUNCTION("""COMPUTED_VALUE"""),9)</f>
        <v>9</v>
      </c>
      <c r="C4" s="119">
        <f ca="1">IFERROR(__xludf.DUMMYFUNCTION("INDEX(RECETAS!E:E, MAX(FILTER(ROW(RECETAS!A:A), RECETAS!A:A=A4)) + 1)"),717.358333333333)</f>
        <v>717.35833333333301</v>
      </c>
      <c r="D4" s="119">
        <f t="shared" ref="D4:D42" ca="1" si="0">C4*B4</f>
        <v>6456.2249999999967</v>
      </c>
      <c r="E4" s="119" t="e">
        <f>#REF!</f>
        <v>#REF!</v>
      </c>
      <c r="F4" s="119" t="e">
        <f>#REF!</f>
        <v>#REF!</v>
      </c>
      <c r="G4" s="103"/>
    </row>
    <row r="5" spans="1:7" ht="22.5" customHeight="1" x14ac:dyDescent="0.25">
      <c r="A5" s="118" t="str">
        <f ca="1">IFERROR(__xludf.DUMMYFUNCTION("""COMPUTED_VALUE"""),"AGUA MINERAL")</f>
        <v>AGUA MINERAL</v>
      </c>
      <c r="B5" s="118">
        <f ca="1">IFERROR(__xludf.DUMMYFUNCTION("""COMPUTED_VALUE"""),45)</f>
        <v>45</v>
      </c>
      <c r="C5" s="119">
        <f ca="1">IFERROR(__xludf.DUMMYFUNCTION("INDEX(RECETAS!E:E, MAX(FILTER(ROW(RECETAS!A:A), RECETAS!A:A=A5)) + 1)"),920.664166666666)</f>
        <v>920.66416666666601</v>
      </c>
      <c r="D5" s="119">
        <f t="shared" ca="1" si="0"/>
        <v>41429.887499999968</v>
      </c>
      <c r="E5" s="119"/>
      <c r="F5" s="119"/>
      <c r="G5" s="103"/>
    </row>
    <row r="6" spans="1:7" ht="22.5" customHeight="1" x14ac:dyDescent="0.25">
      <c r="A6" s="118" t="str">
        <f ca="1">IFERROR(__xludf.DUMMYFUNCTION("""COMPUTED_VALUE"""),"AGUA POMELO H20")</f>
        <v>AGUA POMELO H20</v>
      </c>
      <c r="B6" s="118">
        <f ca="1">IFERROR(__xludf.DUMMYFUNCTION("""COMPUTED_VALUE"""),40)</f>
        <v>40</v>
      </c>
      <c r="C6" s="119">
        <f ca="1">IFERROR(__xludf.DUMMYFUNCTION("INDEX(RECETAS!E:E, MAX(FILTER(ROW(RECETAS!A:A), RECETAS!A:A=A6)) + 1)"),717.375)</f>
        <v>717.375</v>
      </c>
      <c r="D6" s="119">
        <f t="shared" ca="1" si="0"/>
        <v>28695</v>
      </c>
      <c r="E6" s="119"/>
      <c r="F6" s="119"/>
      <c r="G6" s="103"/>
    </row>
    <row r="7" spans="1:7" ht="22.5" customHeight="1" x14ac:dyDescent="0.25">
      <c r="A7" s="118" t="str">
        <f ca="1">IFERROR(__xludf.DUMMYFUNCTION("""COMPUTED_VALUE"""),"AMERICAN BURGER")</f>
        <v>AMERICAN BURGER</v>
      </c>
      <c r="B7" s="118">
        <f ca="1">IFERROR(__xludf.DUMMYFUNCTION("""COMPUTED_VALUE"""),87)</f>
        <v>87</v>
      </c>
      <c r="C7" s="119">
        <f ca="1">IFERROR(__xludf.DUMMYFUNCTION("INDEX(RECETAS!E:E, MAX(FILTER(ROW(RECETAS!A:A), RECETAS!A:A=A7)) + 1)"),5886.03157939627)</f>
        <v>5886.03157939627</v>
      </c>
      <c r="D7" s="119">
        <f t="shared" ca="1" si="0"/>
        <v>512084.74740747549</v>
      </c>
      <c r="E7" s="119"/>
      <c r="F7" s="119"/>
      <c r="G7" s="103"/>
    </row>
    <row r="8" spans="1:7" ht="22.5" customHeight="1" x14ac:dyDescent="0.25">
      <c r="A8" s="118" t="str">
        <f ca="1">IFERROR(__xludf.DUMMYFUNCTION("""COMPUTED_VALUE"""),"AROS DE CEBOLLA")</f>
        <v>AROS DE CEBOLLA</v>
      </c>
      <c r="B8" s="118">
        <f ca="1">IFERROR(__xludf.DUMMYFUNCTION("""COMPUTED_VALUE"""),7)</f>
        <v>7</v>
      </c>
      <c r="C8" s="119">
        <f ca="1">IFERROR(__xludf.DUMMYFUNCTION("INDEX(RECETAS!E:E, MAX(FILTER(ROW(RECETAS!A:A), RECETAS!A:A=A8)) + 1)"),2027.49327948717)</f>
        <v>2027.49327948717</v>
      </c>
      <c r="D8" s="119">
        <f t="shared" ca="1" si="0"/>
        <v>14192.45295641019</v>
      </c>
      <c r="E8" s="119"/>
      <c r="F8" s="119"/>
      <c r="G8" s="103"/>
    </row>
    <row r="9" spans="1:7" ht="22.5" customHeight="1" x14ac:dyDescent="0.25">
      <c r="A9" s="118" t="str">
        <f ca="1">IFERROR(__xludf.DUMMYFUNCTION("""COMPUTED_VALUE"""),"BLUE CHEESE")</f>
        <v>BLUE CHEESE</v>
      </c>
      <c r="B9" s="118">
        <f ca="1">IFERROR(__xludf.DUMMYFUNCTION("""COMPUTED_VALUE"""),35)</f>
        <v>35</v>
      </c>
      <c r="C9" s="119">
        <f ca="1">IFERROR(__xludf.DUMMYFUNCTION("INDEX(RECETAS!E:E, MAX(FILTER(ROW(RECETAS!A:A), RECETAS!A:A=A9)) + 1)"),5298.53157939627)</f>
        <v>5298.53157939627</v>
      </c>
      <c r="D9" s="119">
        <f t="shared" ca="1" si="0"/>
        <v>185448.60527886945</v>
      </c>
      <c r="E9" s="119"/>
      <c r="F9" s="119"/>
      <c r="G9" s="103"/>
    </row>
    <row r="10" spans="1:7" ht="22.5" customHeight="1" x14ac:dyDescent="0.25">
      <c r="A10" s="118" t="str">
        <f ca="1">IFERROR(__xludf.DUMMYFUNCTION("""COMPUTED_VALUE"""),"BOTELLA DE CERVEZA")</f>
        <v>BOTELLA DE CERVEZA</v>
      </c>
      <c r="B10" s="118">
        <f ca="1">IFERROR(__xludf.DUMMYFUNCTION("""COMPUTED_VALUE"""),11)</f>
        <v>11</v>
      </c>
      <c r="C10" s="119">
        <f ca="1">IFERROR(__xludf.DUMMYFUNCTION("INDEX(RECETAS!E:E, MAX(FILTER(ROW(RECETAS!A:A), RECETAS!A:A=A10)) + 1)"),1899.93933333333)</f>
        <v>1899.9393333333301</v>
      </c>
      <c r="D10" s="119">
        <f t="shared" ca="1" si="0"/>
        <v>20899.332666666633</v>
      </c>
      <c r="E10" s="119"/>
      <c r="F10" s="119"/>
      <c r="G10" s="103"/>
    </row>
    <row r="11" spans="1:7" ht="22.5" customHeight="1" x14ac:dyDescent="0.25">
      <c r="A11" s="118" t="str">
        <f ca="1">IFERROR(__xludf.DUMMYFUNCTION("""COMPUTED_VALUE"""),"CHEESE BACON")</f>
        <v>CHEESE BACON</v>
      </c>
      <c r="B11" s="118">
        <f ca="1">IFERROR(__xludf.DUMMYFUNCTION("""COMPUTED_VALUE"""),172)</f>
        <v>172</v>
      </c>
      <c r="C11" s="119">
        <f ca="1">IFERROR(__xludf.DUMMYFUNCTION("INDEX(RECETAS!E:E, MAX(FILTER(ROW(RECETAS!A:A), RECETAS!A:A=A11)) + 1)"),5183.03047939627)</f>
        <v>5183.0304793962696</v>
      </c>
      <c r="D11" s="119">
        <f t="shared" ca="1" si="0"/>
        <v>891481.24245615839</v>
      </c>
      <c r="E11" s="119"/>
      <c r="F11" s="119"/>
      <c r="G11" s="103"/>
    </row>
    <row r="12" spans="1:7" ht="22.5" customHeight="1" x14ac:dyDescent="0.25">
      <c r="A12" s="118" t="str">
        <f ca="1">IFERROR(__xludf.DUMMYFUNCTION("""COMPUTED_VALUE"""),"CHEESE BURGER")</f>
        <v>CHEESE BURGER</v>
      </c>
      <c r="B12" s="118">
        <f ca="1">IFERROR(__xludf.DUMMYFUNCTION("""COMPUTED_VALUE"""),3)</f>
        <v>3</v>
      </c>
      <c r="C12" s="119">
        <f ca="1">IFERROR(__xludf.DUMMYFUNCTION("INDEX(RECETAS!E:E, MAX(FILTER(ROW(RECETAS!A:A), RECETAS!A:A=A12)) + 1)"),5073.90657939627)</f>
        <v>5073.90657939627</v>
      </c>
      <c r="D12" s="119">
        <f t="shared" ca="1" si="0"/>
        <v>15221.719738188811</v>
      </c>
      <c r="E12" s="119"/>
      <c r="F12" s="119"/>
      <c r="G12" s="103"/>
    </row>
    <row r="13" spans="1:7" ht="22.5" customHeight="1" x14ac:dyDescent="0.25">
      <c r="A13" s="118" t="str">
        <f ca="1">IFERROR(__xludf.DUMMYFUNCTION("""COMPUTED_VALUE"""),"CHEESE BURGER CANJE")</f>
        <v>CHEESE BURGER CANJE</v>
      </c>
      <c r="B13" s="118">
        <f ca="1">IFERROR(__xludf.DUMMYFUNCTION("""COMPUTED_VALUE"""),8)</f>
        <v>8</v>
      </c>
      <c r="C13" s="119">
        <f ca="1">IFERROR(__xludf.DUMMYFUNCTION("INDEX(RECETAS!E:E, MAX(FILTER(ROW(RECETAS!A:A), RECETAS!A:A=A13)) + 1)"),2086.06704059829)</f>
        <v>2086.0670405982901</v>
      </c>
      <c r="D13" s="119">
        <f t="shared" ca="1" si="0"/>
        <v>16688.536324786321</v>
      </c>
      <c r="E13" s="119"/>
      <c r="F13" s="119"/>
      <c r="G13" s="103"/>
    </row>
    <row r="14" spans="1:7" ht="22.5" customHeight="1" x14ac:dyDescent="0.25">
      <c r="A14" s="118" t="str">
        <f ca="1">IFERROR(__xludf.DUMMYFUNCTION("""COMPUTED_VALUE"""),"CRISPY BURGER")</f>
        <v>CRISPY BURGER</v>
      </c>
      <c r="B14" s="118">
        <f ca="1">IFERROR(__xludf.DUMMYFUNCTION("""COMPUTED_VALUE"""),51)</f>
        <v>51</v>
      </c>
      <c r="C14" s="119">
        <f ca="1">IFERROR(__xludf.DUMMYFUNCTION("INDEX(RECETAS!E:E, MAX(FILTER(ROW(RECETAS!A:A), RECETAS!A:A=A14)) + 1)"),5233.03047939627)</f>
        <v>5233.0304793962696</v>
      </c>
      <c r="D14" s="119">
        <f t="shared" ca="1" si="0"/>
        <v>266884.55444920977</v>
      </c>
      <c r="E14" s="119"/>
      <c r="F14" s="119"/>
      <c r="G14" s="103"/>
    </row>
    <row r="15" spans="1:7" ht="22.5" customHeight="1" x14ac:dyDescent="0.25">
      <c r="A15" s="118" t="str">
        <f ca="1">IFERROR(__xludf.DUMMYFUNCTION("""COMPUTED_VALUE"""),"DOBLE CUARTO")</f>
        <v>DOBLE CUARTO</v>
      </c>
      <c r="B15" s="118">
        <f ca="1">IFERROR(__xludf.DUMMYFUNCTION("""COMPUTED_VALUE"""),50)</f>
        <v>50</v>
      </c>
      <c r="C15" s="119">
        <f ca="1">IFERROR(__xludf.DUMMYFUNCTION("INDEX(RECETAS!E:E, MAX(FILTER(ROW(RECETAS!A:A), RECETAS!A:A=A15)) + 1)"),5326.66684303263)</f>
        <v>5326.6668430326299</v>
      </c>
      <c r="D15" s="119">
        <f t="shared" ca="1" si="0"/>
        <v>266333.34215163148</v>
      </c>
      <c r="E15" s="119"/>
      <c r="F15" s="119"/>
      <c r="G15" s="103"/>
    </row>
    <row r="16" spans="1:7" ht="22.5" customHeight="1" x14ac:dyDescent="0.25">
      <c r="A16" s="118" t="str">
        <f ca="1">IFERROR(__xludf.DUMMYFUNCTION("""COMPUTED_VALUE"""),"EXTRA MEDALLON")</f>
        <v>EXTRA MEDALLON</v>
      </c>
      <c r="B16" s="118">
        <f ca="1">IFERROR(__xludf.DUMMYFUNCTION("""COMPUTED_VALUE"""),3)</f>
        <v>3</v>
      </c>
      <c r="C16" s="119">
        <f ca="1">IFERROR(__xludf.DUMMYFUNCTION("INDEX(RECETAS!E:E, MAX(FILTER(ROW(RECETAS!A:A), RECETAS!A:A=A16)) + 1)"),1421.75)</f>
        <v>1421.75</v>
      </c>
      <c r="D16" s="119">
        <f t="shared" ca="1" si="0"/>
        <v>4265.25</v>
      </c>
      <c r="E16" s="119"/>
      <c r="F16" s="119"/>
      <c r="G16" s="103"/>
    </row>
    <row r="17" spans="1:7" ht="22.5" customHeight="1" x14ac:dyDescent="0.25">
      <c r="A17" s="118" t="str">
        <f ca="1">IFERROR(__xludf.DUMMYFUNCTION("""COMPUTED_VALUE"""),"HUMPTY BURGER")</f>
        <v>HUMPTY BURGER</v>
      </c>
      <c r="B17" s="118">
        <f ca="1">IFERROR(__xludf.DUMMYFUNCTION("""COMPUTED_VALUE"""),74)</f>
        <v>74</v>
      </c>
      <c r="C17" s="119">
        <f ca="1">IFERROR(__xludf.DUMMYFUNCTION("INDEX(RECETAS!E:E, MAX(FILTER(ROW(RECETAS!A:A), RECETAS!A:A=A17)) + 1)"),5409.69714606293)</f>
        <v>5409.6971460629302</v>
      </c>
      <c r="D17" s="119">
        <f t="shared" ca="1" si="0"/>
        <v>400317.58880865684</v>
      </c>
      <c r="E17" s="119"/>
      <c r="F17" s="119"/>
      <c r="G17" s="103"/>
    </row>
    <row r="18" spans="1:7" ht="22.5" customHeight="1" x14ac:dyDescent="0.25">
      <c r="A18" s="118" t="str">
        <f ca="1">IFERROR(__xludf.DUMMYFUNCTION("""COMPUTED_VALUE"""),"JIMMY BURGER")</f>
        <v>JIMMY BURGER</v>
      </c>
      <c r="B18" s="118">
        <f ca="1">IFERROR(__xludf.DUMMYFUNCTION("""COMPUTED_VALUE"""),34)</f>
        <v>34</v>
      </c>
      <c r="C18" s="119">
        <f ca="1">IFERROR(__xludf.DUMMYFUNCTION("INDEX(RECETAS!E:E, MAX(FILTER(ROW(RECETAS!A:A), RECETAS!A:A=A18)) + 1)"),3923.49054884071)</f>
        <v>3923.4905488407098</v>
      </c>
      <c r="D18" s="119">
        <f t="shared" ca="1" si="0"/>
        <v>133398.67866058415</v>
      </c>
      <c r="E18" s="119"/>
      <c r="F18" s="119"/>
      <c r="G18" s="103"/>
    </row>
    <row r="19" spans="1:7" ht="22.5" customHeight="1" x14ac:dyDescent="0.25">
      <c r="A19" s="118" t="str">
        <f ca="1">IFERROR(__xludf.DUMMYFUNCTION("""COMPUTED_VALUE"""),"MEDALLON VEGGIE")</f>
        <v>MEDALLON VEGGIE</v>
      </c>
      <c r="B19" s="118">
        <f ca="1">IFERROR(__xludf.DUMMYFUNCTION("""COMPUTED_VALUE"""),1)</f>
        <v>1</v>
      </c>
      <c r="C19" s="119">
        <f ca="1">IFERROR(__xludf.DUMMYFUNCTION("INDEX(RECETAS!E:E, MAX(FILTER(ROW(RECETAS!A:A), RECETAS!A:A=A19)) + 1)"),700)</f>
        <v>700</v>
      </c>
      <c r="D19" s="119">
        <f t="shared" ca="1" si="0"/>
        <v>700</v>
      </c>
      <c r="E19" s="119"/>
      <c r="F19" s="119"/>
      <c r="G19" s="103"/>
    </row>
    <row r="20" spans="1:7" ht="22.5" customHeight="1" x14ac:dyDescent="0.25">
      <c r="A20" s="118" t="str">
        <f ca="1">IFERROR(__xludf.DUMMYFUNCTION("""COMPUTED_VALUE"""),"MEDIA PINTA DE CERVEZA")</f>
        <v>MEDIA PINTA DE CERVEZA</v>
      </c>
      <c r="B20" s="118">
        <f ca="1">IFERROR(__xludf.DUMMYFUNCTION("""COMPUTED_VALUE"""),64)</f>
        <v>64</v>
      </c>
      <c r="C20" s="119">
        <f ca="1">IFERROR(__xludf.DUMMYFUNCTION("INDEX(RECETAS!E:E, MAX(FILTER(ROW(RECETAS!A:A), RECETAS!A:A=A20)) + 1)"),949.969666666666)</f>
        <v>949.96966666666594</v>
      </c>
      <c r="D20" s="119">
        <f t="shared" ca="1" si="0"/>
        <v>60798.05866666662</v>
      </c>
      <c r="E20" s="119"/>
      <c r="F20" s="119"/>
      <c r="G20" s="103"/>
    </row>
    <row r="21" spans="1:7" ht="22.5" customHeight="1" x14ac:dyDescent="0.25">
      <c r="A21" s="118" t="str">
        <f ca="1">IFERROR(__xludf.DUMMYFUNCTION("""COMPUTED_VALUE"""),"MIGI BURGER")</f>
        <v>MIGI BURGER</v>
      </c>
      <c r="B21" s="118">
        <f ca="1">IFERROR(__xludf.DUMMYFUNCTION("""COMPUTED_VALUE"""),164)</f>
        <v>164</v>
      </c>
      <c r="C21" s="119">
        <f ca="1">IFERROR(__xludf.DUMMYFUNCTION("INDEX(RECETAS!E:E, MAX(FILTER(ROW(RECETAS!A:A), RECETAS!A:A=A21)) + 1)"),4209.03157939627)</f>
        <v>4209.03157939627</v>
      </c>
      <c r="D21" s="119">
        <f t="shared" ca="1" si="0"/>
        <v>690281.17902098829</v>
      </c>
      <c r="E21" s="119"/>
      <c r="F21" s="119"/>
      <c r="G21" s="103"/>
    </row>
    <row r="22" spans="1:7" ht="22.5" customHeight="1" x14ac:dyDescent="0.25">
      <c r="A22" s="118" t="str">
        <f ca="1">IFERROR(__xludf.DUMMYFUNCTION("""COMPUTED_VALUE"""),"MIRINDA")</f>
        <v>MIRINDA</v>
      </c>
      <c r="B22" s="118">
        <f ca="1">IFERROR(__xludf.DUMMYFUNCTION("""COMPUTED_VALUE"""),36)</f>
        <v>36</v>
      </c>
      <c r="C22" s="119">
        <f ca="1">IFERROR(__xludf.DUMMYFUNCTION("INDEX(RECETAS!E:E, MAX(FILTER(ROW(RECETAS!A:A), RECETAS!A:A=A22)) + 1)"),758.113333333333)</f>
        <v>758.113333333333</v>
      </c>
      <c r="D22" s="119">
        <f t="shared" ca="1" si="0"/>
        <v>27292.079999999987</v>
      </c>
      <c r="E22" s="119"/>
      <c r="F22" s="119"/>
      <c r="G22" s="103"/>
    </row>
    <row r="23" spans="1:7" ht="22.5" customHeight="1" x14ac:dyDescent="0.25">
      <c r="A23" s="118" t="str">
        <f ca="1">IFERROR(__xludf.DUMMYFUNCTION("""COMPUTED_VALUE"""),"MOBY DICK")</f>
        <v>MOBY DICK</v>
      </c>
      <c r="B23" s="118">
        <f ca="1">IFERROR(__xludf.DUMMYFUNCTION("""COMPUTED_VALUE"""),70)</f>
        <v>70</v>
      </c>
      <c r="C23" s="119">
        <f ca="1">IFERROR(__xludf.DUMMYFUNCTION("INDEX(RECETAS!E:E, MAX(FILTER(ROW(RECETAS!A:A), RECETAS!A:A=A23)) + 1)"),8562.10924050738)</f>
        <v>8562.1092405073796</v>
      </c>
      <c r="D23" s="119">
        <f t="shared" ca="1" si="0"/>
        <v>599347.64683551656</v>
      </c>
      <c r="E23" s="119"/>
      <c r="F23" s="119"/>
      <c r="G23" s="103"/>
    </row>
    <row r="24" spans="1:7" ht="22.5" customHeight="1" x14ac:dyDescent="0.25">
      <c r="A24" s="118" t="str">
        <f ca="1">IFERROR(__xludf.DUMMYFUNCTION("""COMPUTED_VALUE"""),"NUGGETS X 10")</f>
        <v>NUGGETS X 10</v>
      </c>
      <c r="B24" s="118">
        <f ca="1">IFERROR(__xludf.DUMMYFUNCTION("""COMPUTED_VALUE"""),12)</f>
        <v>12</v>
      </c>
      <c r="C24" s="119">
        <f ca="1">IFERROR(__xludf.DUMMYFUNCTION("INDEX(RECETAS!E:E, MAX(FILTER(ROW(RECETAS!A:A), RECETAS!A:A=A24)) + 1)"),2756.21051282051)</f>
        <v>2756.2105128205098</v>
      </c>
      <c r="D24" s="119">
        <f t="shared" ca="1" si="0"/>
        <v>33074.52615384612</v>
      </c>
      <c r="E24" s="119"/>
      <c r="F24" s="119"/>
      <c r="G24" s="103"/>
    </row>
    <row r="25" spans="1:7" ht="22.5" customHeight="1" x14ac:dyDescent="0.25">
      <c r="A25" s="118" t="str">
        <f ca="1">IFERROR(__xludf.DUMMYFUNCTION("""COMPUTED_VALUE"""),"NUGGETS X 6")</f>
        <v>NUGGETS X 6</v>
      </c>
      <c r="B25" s="118">
        <f ca="1">IFERROR(__xludf.DUMMYFUNCTION("""COMPUTED_VALUE"""),5)</f>
        <v>5</v>
      </c>
      <c r="C25" s="119">
        <f ca="1">IFERROR(__xludf.DUMMYFUNCTION("INDEX(RECETAS!E:E, MAX(FILTER(ROW(RECETAS!A:A), RECETAS!A:A=A25)) + 1)"),1680.52117948717)</f>
        <v>1680.52117948717</v>
      </c>
      <c r="D25" s="119">
        <f t="shared" ca="1" si="0"/>
        <v>8402.6058974358493</v>
      </c>
      <c r="E25" s="119"/>
      <c r="F25" s="119"/>
      <c r="G25" s="103"/>
    </row>
    <row r="26" spans="1:7" ht="22.5" customHeight="1" x14ac:dyDescent="0.25">
      <c r="A26" s="118" t="str">
        <f ca="1">IFERROR(__xludf.DUMMYFUNCTION("""COMPUTED_VALUE"""),"ONION RINGS BURGER")</f>
        <v>ONION RINGS BURGER</v>
      </c>
      <c r="B26" s="118">
        <f ca="1">IFERROR(__xludf.DUMMYFUNCTION("""COMPUTED_VALUE"""),26)</f>
        <v>26</v>
      </c>
      <c r="C26" s="119">
        <f ca="1">IFERROR(__xludf.DUMMYFUNCTION("INDEX(RECETAS!E:E, MAX(FILTER(ROW(RECETAS!A:A), RECETAS!A:A=A26)) + 1)"),5660.1693127296)</f>
        <v>5660.1693127296003</v>
      </c>
      <c r="D26" s="119">
        <f t="shared" ca="1" si="0"/>
        <v>147164.4021309696</v>
      </c>
      <c r="E26" s="119"/>
      <c r="F26" s="119"/>
      <c r="G26" s="103"/>
    </row>
    <row r="27" spans="1:7" ht="22.5" customHeight="1" x14ac:dyDescent="0.25">
      <c r="A27" s="118" t="str">
        <f ca="1">IFERROR(__xludf.DUMMYFUNCTION("""COMPUTED_VALUE"""),"PEPSI  ")</f>
        <v xml:space="preserve">PEPSI  </v>
      </c>
      <c r="B27" s="118">
        <f ca="1">IFERROR(__xludf.DUMMYFUNCTION("""COMPUTED_VALUE"""),204)</f>
        <v>204</v>
      </c>
      <c r="C27" s="119">
        <f ca="1">IFERROR(__xludf.DUMMYFUNCTION("INDEX(RECETAS!E:E, MAX(FILTER(ROW(RECETAS!A:A), RECETAS!A:A=A27)) + 1)"),770.53)</f>
        <v>770.53</v>
      </c>
      <c r="D27" s="119">
        <f t="shared" ca="1" si="0"/>
        <v>157188.12</v>
      </c>
      <c r="E27" s="119"/>
      <c r="F27" s="119"/>
      <c r="G27" s="103"/>
    </row>
    <row r="28" spans="1:7" ht="22.5" customHeight="1" x14ac:dyDescent="0.25">
      <c r="A28" s="118" t="str">
        <f ca="1">IFERROR(__xludf.DUMMYFUNCTION("""COMPUTED_VALUE"""),"PEPSI BLACK")</f>
        <v>PEPSI BLACK</v>
      </c>
      <c r="B28" s="118">
        <f ca="1">IFERROR(__xludf.DUMMYFUNCTION("""COMPUTED_VALUE"""),43)</f>
        <v>43</v>
      </c>
      <c r="C28" s="119">
        <f ca="1">IFERROR(__xludf.DUMMYFUNCTION("INDEX(RECETAS!E:E, MAX(FILTER(ROW(RECETAS!A:A), RECETAS!A:A=A28)) + 1)"),758.1)</f>
        <v>758.1</v>
      </c>
      <c r="D28" s="119">
        <f t="shared" ca="1" si="0"/>
        <v>32598.3</v>
      </c>
      <c r="E28" s="119"/>
      <c r="F28" s="119"/>
      <c r="G28" s="103"/>
    </row>
    <row r="29" spans="1:7" ht="22.5" customHeight="1" x14ac:dyDescent="0.25">
      <c r="A29" s="118" t="str">
        <f ca="1">IFERROR(__xludf.DUMMYFUNCTION("""COMPUTED_VALUE"""),"PINTA DE CERVEZA")</f>
        <v>PINTA DE CERVEZA</v>
      </c>
      <c r="B29" s="118">
        <f ca="1">IFERROR(__xludf.DUMMYFUNCTION("""COMPUTED_VALUE"""),2)</f>
        <v>2</v>
      </c>
      <c r="C29" s="119">
        <f ca="1">IFERROR(__xludf.DUMMYFUNCTION("INDEX(RECETAS!E:E, MAX(FILTER(ROW(RECETAS!A:A), RECETAS!A:A=A29)) + 1)"),1899.93933333333)</f>
        <v>1899.9393333333301</v>
      </c>
      <c r="D29" s="119">
        <f t="shared" ca="1" si="0"/>
        <v>3799.8786666666601</v>
      </c>
      <c r="E29" s="119"/>
      <c r="F29" s="119"/>
      <c r="G29" s="103"/>
    </row>
    <row r="30" spans="1:7" ht="22.5" customHeight="1" x14ac:dyDescent="0.25">
      <c r="A30" s="118" t="str">
        <f ca="1">IFERROR(__xludf.DUMMYFUNCTION("""COMPUTED_VALUE"""),"PORCION DE PAPAS")</f>
        <v>PORCION DE PAPAS</v>
      </c>
      <c r="B30" s="118">
        <f ca="1">IFERROR(__xludf.DUMMYFUNCTION("""COMPUTED_VALUE"""),19)</f>
        <v>19</v>
      </c>
      <c r="C30" s="119">
        <f ca="1">IFERROR(__xludf.DUMMYFUNCTION("INDEX(RECETAS!E:E, MAX(FILTER(ROW(RECETAS!A:A), RECETAS!A:A=A30)) + 1)"),2292.92034615384)</f>
        <v>2292.92034615384</v>
      </c>
      <c r="D30" s="119">
        <f t="shared" ca="1" si="0"/>
        <v>43565.486576922958</v>
      </c>
      <c r="E30" s="119"/>
      <c r="F30" s="119"/>
      <c r="G30" s="103"/>
    </row>
    <row r="31" spans="1:7" ht="22.5" customHeight="1" x14ac:dyDescent="0.25">
      <c r="A31" s="118" t="str">
        <f ca="1">IFERROR(__xludf.DUMMYFUNCTION("""COMPUTED_VALUE"""),"PORCION DE PAPAS CON CHEDDAR Y BACON")</f>
        <v>PORCION DE PAPAS CON CHEDDAR Y BACON</v>
      </c>
      <c r="B31" s="118">
        <f ca="1">IFERROR(__xludf.DUMMYFUNCTION("""COMPUTED_VALUE"""),6)</f>
        <v>6</v>
      </c>
      <c r="C31" s="119">
        <f ca="1">IFERROR(__xludf.DUMMYFUNCTION("INDEX(RECETAS!E:E, MAX(FILTER(ROW(RECETAS!A:A), RECETAS!A:A=A31)) + 1)"),3229.7962032967)</f>
        <v>3229.7962032966998</v>
      </c>
      <c r="D31" s="119">
        <f t="shared" ca="1" si="0"/>
        <v>19378.777219780197</v>
      </c>
      <c r="E31" s="119"/>
      <c r="F31" s="119"/>
      <c r="G31" s="103"/>
    </row>
    <row r="32" spans="1:7" ht="22.5" customHeight="1" x14ac:dyDescent="0.25">
      <c r="A32" s="118" t="str">
        <f ca="1">IFERROR(__xludf.DUMMYFUNCTION("""COMPUTED_VALUE"""),"PORCION DE PAPAS Y CHEDDAR")</f>
        <v>PORCION DE PAPAS Y CHEDDAR</v>
      </c>
      <c r="B32" s="118">
        <f ca="1">IFERROR(__xludf.DUMMYFUNCTION("""COMPUTED_VALUE"""),7)</f>
        <v>7</v>
      </c>
      <c r="C32" s="119">
        <f ca="1">IFERROR(__xludf.DUMMYFUNCTION("INDEX(RECETAS!E:E, MAX(FILTER(ROW(RECETAS!A:A), RECETAS!A:A=A32)) + 1)"),2948.1332032967)</f>
        <v>2948.1332032966998</v>
      </c>
      <c r="D32" s="119">
        <f t="shared" ca="1" si="0"/>
        <v>20636.932423076898</v>
      </c>
      <c r="E32" s="119"/>
      <c r="F32" s="119"/>
      <c r="G32" s="103"/>
    </row>
    <row r="33" spans="1:7" ht="22.5" customHeight="1" x14ac:dyDescent="0.25">
      <c r="A33" s="118" t="str">
        <f ca="1">IFERROR(__xludf.DUMMYFUNCTION("""COMPUTED_VALUE"""),"POSTRE CHOCOTORTA")</f>
        <v>POSTRE CHOCOTORTA</v>
      </c>
      <c r="B33" s="118">
        <f ca="1">IFERROR(__xludf.DUMMYFUNCTION("""COMPUTED_VALUE"""),13)</f>
        <v>13</v>
      </c>
      <c r="C33" s="119">
        <f ca="1">IFERROR(__xludf.DUMMYFUNCTION("INDEX(RECETAS!E:E, MAX(FILTER(ROW(RECETAS!A:A), RECETAS!A:A=A33)) + 1)"),2800)</f>
        <v>2800</v>
      </c>
      <c r="D33" s="119">
        <f t="shared" ca="1" si="0"/>
        <v>36400</v>
      </c>
      <c r="E33" s="119"/>
      <c r="F33" s="119"/>
      <c r="G33" s="103"/>
    </row>
    <row r="34" spans="1:7" ht="30" customHeight="1" x14ac:dyDescent="0.25">
      <c r="A34" s="118" t="str">
        <f ca="1">IFERROR(__xludf.DUMMYFUNCTION("""COMPUTED_VALUE"""),"POSTRE OREO")</f>
        <v>POSTRE OREO</v>
      </c>
      <c r="B34" s="118">
        <f ca="1">IFERROR(__xludf.DUMMYFUNCTION("""COMPUTED_VALUE"""),12)</f>
        <v>12</v>
      </c>
      <c r="C34" s="119">
        <f ca="1">IFERROR(__xludf.DUMMYFUNCTION("INDEX(RECETAS!E:E, MAX(FILTER(ROW(RECETAS!A:A), RECETAS!A:A=A34)) + 1)"),2800)</f>
        <v>2800</v>
      </c>
      <c r="D34" s="119">
        <f t="shared" ca="1" si="0"/>
        <v>33600</v>
      </c>
      <c r="E34" s="120"/>
      <c r="F34" s="121"/>
      <c r="G34" s="115"/>
    </row>
    <row r="35" spans="1:7" ht="30" customHeight="1" x14ac:dyDescent="0.25">
      <c r="A35" s="118" t="str">
        <f ca="1">IFERROR(__xludf.DUMMYFUNCTION("""COMPUTED_VALUE"""),"PULLED PORK")</f>
        <v>PULLED PORK</v>
      </c>
      <c r="B35" s="118">
        <f ca="1">IFERROR(__xludf.DUMMYFUNCTION("""COMPUTED_VALUE"""),63)</f>
        <v>63</v>
      </c>
      <c r="C35" s="119">
        <f ca="1">IFERROR(__xludf.DUMMYFUNCTION("INDEX(RECETAS!E:E, MAX(FILTER(ROW(RECETAS!A:A), RECETAS!A:A=A35)) + 1)"),2652.60312106293)</f>
        <v>2652.6031210629299</v>
      </c>
      <c r="D35" s="119">
        <f t="shared" ca="1" si="0"/>
        <v>167113.9966269646</v>
      </c>
      <c r="E35" s="120"/>
      <c r="F35" s="121"/>
      <c r="G35" s="115"/>
    </row>
    <row r="36" spans="1:7" ht="30" customHeight="1" x14ac:dyDescent="0.25">
      <c r="A36" s="118" t="str">
        <f ca="1">IFERROR(__xludf.DUMMYFUNCTION("""COMPUTED_VALUE"""),"SEVEN-UP")</f>
        <v>SEVEN-UP</v>
      </c>
      <c r="B36" s="118">
        <f ca="1">IFERROR(__xludf.DUMMYFUNCTION("""COMPUTED_VALUE"""),126)</f>
        <v>126</v>
      </c>
      <c r="C36" s="119">
        <f ca="1">IFERROR(__xludf.DUMMYFUNCTION("INDEX(RECETAS!E:E, MAX(FILTER(ROW(RECETAS!A:A), RECETAS!A:A=A36)) + 1)"),758.113333333333)</f>
        <v>758.113333333333</v>
      </c>
      <c r="D36" s="119">
        <f t="shared" ca="1" si="0"/>
        <v>95522.279999999955</v>
      </c>
      <c r="E36" s="122"/>
      <c r="F36" s="121"/>
      <c r="G36" s="115"/>
    </row>
    <row r="37" spans="1:7" ht="30" customHeight="1" x14ac:dyDescent="0.25">
      <c r="A37" s="118" t="str">
        <f ca="1">IFERROR(__xludf.DUMMYFUNCTION("""COMPUTED_VALUE"""),"SWEET BACON BURGER")</f>
        <v>SWEET BACON BURGER</v>
      </c>
      <c r="B37" s="118">
        <f ca="1">IFERROR(__xludf.DUMMYFUNCTION("""COMPUTED_VALUE"""),31)</f>
        <v>31</v>
      </c>
      <c r="C37" s="119">
        <f ca="1">IFERROR(__xludf.DUMMYFUNCTION("INDEX(RECETAS!E:E, MAX(FILTER(ROW(RECETAS!A:A), RECETAS!A:A=A37)) + 1)"),5148.53157939627)</f>
        <v>5148.53157939627</v>
      </c>
      <c r="D37" s="119">
        <f t="shared" ca="1" si="0"/>
        <v>159604.47896128436</v>
      </c>
      <c r="E37" s="122"/>
      <c r="F37" s="121"/>
      <c r="G37" s="115"/>
    </row>
    <row r="38" spans="1:7" ht="30" customHeight="1" x14ac:dyDescent="0.25">
      <c r="A38" s="118" t="str">
        <f ca="1">IFERROR(__xludf.DUMMYFUNCTION("""COMPUTED_VALUE"""),"SWEET ONION")</f>
        <v>SWEET ONION</v>
      </c>
      <c r="B38" s="118">
        <f ca="1">IFERROR(__xludf.DUMMYFUNCTION("""COMPUTED_VALUE"""),68)</f>
        <v>68</v>
      </c>
      <c r="C38" s="119">
        <f ca="1">IFERROR(__xludf.DUMMYFUNCTION("INDEX(RECETAS!E:E, MAX(FILTER(ROW(RECETAS!A:A), RECETAS!A:A=A38)) + 1)"),5183.03047939627)</f>
        <v>5183.0304793962696</v>
      </c>
      <c r="D38" s="119">
        <f t="shared" ca="1" si="0"/>
        <v>352446.07259894634</v>
      </c>
      <c r="E38" s="122"/>
      <c r="F38" s="121"/>
      <c r="G38" s="115"/>
    </row>
    <row r="39" spans="1:7" ht="30" customHeight="1" x14ac:dyDescent="0.25">
      <c r="A39" s="118" t="str">
        <f ca="1">IFERROR(__xludf.DUMMYFUNCTION("""COMPUTED_VALUE"""),"TASTY WLB")</f>
        <v>TASTY WLB</v>
      </c>
      <c r="B39" s="118">
        <f ca="1">IFERROR(__xludf.DUMMYFUNCTION("""COMPUTED_VALUE"""),41)</f>
        <v>41</v>
      </c>
      <c r="C39" s="119">
        <f ca="1">IFERROR(__xludf.DUMMYFUNCTION("INDEX(RECETAS!E:E, MAX(FILTER(ROW(RECETAS!A:A), RECETAS!A:A=A39)) + 1)"),5411.03157939627)</f>
        <v>5411.03157939627</v>
      </c>
      <c r="D39" s="119">
        <f t="shared" ca="1" si="0"/>
        <v>221852.29475524707</v>
      </c>
      <c r="E39" s="122"/>
      <c r="F39" s="121"/>
      <c r="G39" s="115"/>
    </row>
    <row r="40" spans="1:7" ht="30" customHeight="1" x14ac:dyDescent="0.25">
      <c r="A40" s="118" t="str">
        <f ca="1">IFERROR(__xludf.DUMMYFUNCTION("""COMPUTED_VALUE"""),"TRIPLE CHEESE BACON")</f>
        <v>TRIPLE CHEESE BACON</v>
      </c>
      <c r="B40" s="118">
        <f ca="1">IFERROR(__xludf.DUMMYFUNCTION("""COMPUTED_VALUE"""),64)</f>
        <v>64</v>
      </c>
      <c r="C40" s="119">
        <f ca="1">IFERROR(__xludf.DUMMYFUNCTION("INDEX(RECETAS!E:E, MAX(FILTER(ROW(RECETAS!A:A), RECETAS!A:A=A40)) + 1)"),6830.32040995182)</f>
        <v>6830.3204099518198</v>
      </c>
      <c r="D40" s="119">
        <f t="shared" ca="1" si="0"/>
        <v>437140.50623691647</v>
      </c>
      <c r="E40" s="120"/>
      <c r="F40" s="121"/>
      <c r="G40" s="115"/>
    </row>
    <row r="41" spans="1:7" ht="30" customHeight="1" x14ac:dyDescent="0.25">
      <c r="A41" s="118" t="str">
        <f ca="1">IFERROR(__xludf.DUMMYFUNCTION("""COMPUTED_VALUE"""),"VEGGIE BURGER")</f>
        <v>VEGGIE BURGER</v>
      </c>
      <c r="B41" s="118">
        <f ca="1">IFERROR(__xludf.DUMMYFUNCTION("""COMPUTED_VALUE"""),26)</f>
        <v>26</v>
      </c>
      <c r="C41" s="119">
        <f ca="1">IFERROR(__xludf.DUMMYFUNCTION("INDEX(RECETAS!E:E, MAX(FILTER(ROW(RECETAS!A:A), RECETAS!A:A=A41)) + 1)"),2674.4117877296)</f>
        <v>2674.4117877295998</v>
      </c>
      <c r="D41" s="119">
        <f t="shared" ca="1" si="0"/>
        <v>69534.706480969602</v>
      </c>
      <c r="E41" s="123"/>
      <c r="F41" s="124"/>
      <c r="G41" s="115"/>
    </row>
    <row r="42" spans="1:7" ht="30" customHeight="1" x14ac:dyDescent="0.25">
      <c r="A42" s="118"/>
      <c r="B42" s="118"/>
      <c r="C42" s="119" t="str">
        <f ca="1">IFERROR(__xludf.DUMMYFUNCTION("INDEX(RECETAS!E:E, MAX(FILTER(ROW(RECETAS!A:A), RECETAS!A:A=A42)) + 1)"),"")</f>
        <v/>
      </c>
      <c r="D42" s="119" t="e">
        <f t="shared" ca="1" si="0"/>
        <v>#VALUE!</v>
      </c>
      <c r="E42" s="123"/>
      <c r="F42" s="124"/>
      <c r="G42" s="115"/>
    </row>
    <row r="43" spans="1:7" ht="30" customHeight="1" x14ac:dyDescent="0.25">
      <c r="A43" s="126"/>
      <c r="B43" s="126"/>
      <c r="C43" s="127">
        <f ca="1">SUM(Tabla_4[COSTO UNITARIO])</f>
        <v>122558.6185896244</v>
      </c>
      <c r="D43" s="128" t="e">
        <f ca="1">SUM(D4:D42)</f>
        <v>#VALUE!</v>
      </c>
      <c r="E43" s="129" t="e">
        <f>E4+F4</f>
        <v>#REF!</v>
      </c>
      <c r="F43" s="130" t="e">
        <f ca="1">D43/E43</f>
        <v>#VALUE!</v>
      </c>
      <c r="G43" s="115"/>
    </row>
  </sheetData>
  <dataValidations count="1">
    <dataValidation type="custom" allowBlank="1" showDropDown="1" sqref="C2:C42" xr:uid="{00000000-0002-0000-05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3625"/>
  <sheetViews>
    <sheetView workbookViewId="0"/>
  </sheetViews>
  <sheetFormatPr baseColWidth="10" defaultColWidth="12.6640625" defaultRowHeight="15.75" customHeight="1" x14ac:dyDescent="0.25"/>
  <sheetData>
    <row r="1" spans="1:2" x14ac:dyDescent="0.25">
      <c r="A1" s="131" t="s">
        <v>140</v>
      </c>
      <c r="B1" s="131" t="s">
        <v>141</v>
      </c>
    </row>
    <row r="2" spans="1:2" x14ac:dyDescent="0.25">
      <c r="A2" s="131" t="s">
        <v>47</v>
      </c>
      <c r="B2" s="131">
        <v>1</v>
      </c>
    </row>
    <row r="3" spans="1:2" x14ac:dyDescent="0.25">
      <c r="A3" s="131" t="s">
        <v>50</v>
      </c>
      <c r="B3" s="131">
        <v>1</v>
      </c>
    </row>
    <row r="4" spans="1:2" x14ac:dyDescent="0.25">
      <c r="A4" s="131" t="s">
        <v>74</v>
      </c>
      <c r="B4" s="131">
        <v>1</v>
      </c>
    </row>
    <row r="5" spans="1:2" x14ac:dyDescent="0.25">
      <c r="A5" s="131" t="s">
        <v>10</v>
      </c>
      <c r="B5" s="131">
        <v>1</v>
      </c>
    </row>
    <row r="6" spans="1:2" x14ac:dyDescent="0.25">
      <c r="A6" s="131" t="s">
        <v>47</v>
      </c>
      <c r="B6" s="131">
        <v>1</v>
      </c>
    </row>
    <row r="7" spans="1:2" x14ac:dyDescent="0.25">
      <c r="A7" s="131" t="s">
        <v>76</v>
      </c>
      <c r="B7" s="131">
        <v>1</v>
      </c>
    </row>
    <row r="8" spans="1:2" x14ac:dyDescent="0.25">
      <c r="A8" s="131" t="s">
        <v>74</v>
      </c>
      <c r="B8" s="131">
        <v>1</v>
      </c>
    </row>
    <row r="9" spans="1:2" x14ac:dyDescent="0.25">
      <c r="A9" s="131" t="s">
        <v>60</v>
      </c>
      <c r="B9" s="131">
        <v>1</v>
      </c>
    </row>
    <row r="10" spans="1:2" x14ac:dyDescent="0.25">
      <c r="A10" s="131" t="s">
        <v>74</v>
      </c>
      <c r="B10" s="131">
        <v>1</v>
      </c>
    </row>
    <row r="11" spans="1:2" x14ac:dyDescent="0.25">
      <c r="A11" s="131" t="s">
        <v>50</v>
      </c>
      <c r="B11" s="131">
        <v>1</v>
      </c>
    </row>
    <row r="12" spans="1:2" x14ac:dyDescent="0.25">
      <c r="A12" s="131" t="s">
        <v>50</v>
      </c>
      <c r="B12" s="131">
        <v>1</v>
      </c>
    </row>
    <row r="13" spans="1:2" x14ac:dyDescent="0.25">
      <c r="A13" s="131" t="s">
        <v>86</v>
      </c>
      <c r="B13" s="131">
        <v>-1</v>
      </c>
    </row>
    <row r="14" spans="1:2" x14ac:dyDescent="0.25">
      <c r="A14" s="131" t="s">
        <v>76</v>
      </c>
      <c r="B14" s="131">
        <v>1</v>
      </c>
    </row>
    <row r="15" spans="1:2" x14ac:dyDescent="0.25">
      <c r="A15" s="131" t="s">
        <v>93</v>
      </c>
      <c r="B15" s="131">
        <v>1</v>
      </c>
    </row>
    <row r="16" spans="1:2" x14ac:dyDescent="0.25">
      <c r="A16" s="131" t="s">
        <v>84</v>
      </c>
      <c r="B16" s="131">
        <v>1</v>
      </c>
    </row>
    <row r="17" spans="1:2" x14ac:dyDescent="0.25">
      <c r="A17" s="131" t="s">
        <v>36</v>
      </c>
      <c r="B17" s="131">
        <v>1</v>
      </c>
    </row>
    <row r="18" spans="1:2" x14ac:dyDescent="0.25">
      <c r="A18" s="131" t="s">
        <v>55</v>
      </c>
      <c r="B18" s="131">
        <v>1</v>
      </c>
    </row>
    <row r="19" spans="1:2" x14ac:dyDescent="0.25">
      <c r="A19" s="131" t="s">
        <v>74</v>
      </c>
      <c r="B19" s="131">
        <v>1</v>
      </c>
    </row>
    <row r="20" spans="1:2" x14ac:dyDescent="0.25">
      <c r="A20" s="131" t="s">
        <v>76</v>
      </c>
      <c r="B20" s="131">
        <v>1</v>
      </c>
    </row>
    <row r="21" spans="1:2" x14ac:dyDescent="0.25">
      <c r="A21" s="131" t="s">
        <v>36</v>
      </c>
      <c r="B21" s="131">
        <v>1</v>
      </c>
    </row>
    <row r="22" spans="1:2" x14ac:dyDescent="0.25">
      <c r="A22" s="131" t="s">
        <v>29</v>
      </c>
      <c r="B22" s="131">
        <v>1</v>
      </c>
    </row>
    <row r="23" spans="1:2" x14ac:dyDescent="0.25">
      <c r="A23" s="131" t="s">
        <v>76</v>
      </c>
      <c r="B23" s="131">
        <v>1</v>
      </c>
    </row>
    <row r="24" spans="1:2" x14ac:dyDescent="0.25">
      <c r="A24" s="131" t="s">
        <v>43</v>
      </c>
      <c r="B24" s="131">
        <v>1</v>
      </c>
    </row>
    <row r="25" spans="1:2" x14ac:dyDescent="0.25">
      <c r="A25" s="131" t="s">
        <v>76</v>
      </c>
      <c r="B25" s="131">
        <v>1</v>
      </c>
    </row>
    <row r="26" spans="1:2" x14ac:dyDescent="0.25">
      <c r="A26" s="131" t="s">
        <v>43</v>
      </c>
      <c r="B26" s="131">
        <v>1</v>
      </c>
    </row>
    <row r="27" spans="1:2" x14ac:dyDescent="0.25">
      <c r="A27" s="131" t="s">
        <v>74</v>
      </c>
      <c r="B27" s="131">
        <v>1</v>
      </c>
    </row>
    <row r="28" spans="1:2" x14ac:dyDescent="0.25">
      <c r="A28" s="131" t="s">
        <v>36</v>
      </c>
      <c r="B28" s="131">
        <v>1</v>
      </c>
    </row>
    <row r="29" spans="1:2" x14ac:dyDescent="0.25">
      <c r="A29" s="131" t="s">
        <v>29</v>
      </c>
      <c r="B29" s="131">
        <v>1</v>
      </c>
    </row>
    <row r="30" spans="1:2" x14ac:dyDescent="0.25">
      <c r="A30" s="131" t="s">
        <v>74</v>
      </c>
      <c r="B30" s="131">
        <v>1</v>
      </c>
    </row>
    <row r="31" spans="1:2" x14ac:dyDescent="0.25">
      <c r="A31" s="131" t="s">
        <v>74</v>
      </c>
      <c r="B31" s="131">
        <v>1</v>
      </c>
    </row>
    <row r="32" spans="1:2" x14ac:dyDescent="0.25">
      <c r="A32" s="131" t="s">
        <v>62</v>
      </c>
      <c r="B32" s="131">
        <v>1</v>
      </c>
    </row>
    <row r="33" spans="1:2" x14ac:dyDescent="0.25">
      <c r="A33" s="131" t="s">
        <v>84</v>
      </c>
      <c r="B33" s="131">
        <v>1</v>
      </c>
    </row>
    <row r="34" spans="1:2" x14ac:dyDescent="0.25">
      <c r="A34" s="131" t="s">
        <v>84</v>
      </c>
      <c r="B34" s="131">
        <v>1</v>
      </c>
    </row>
    <row r="35" spans="1:2" x14ac:dyDescent="0.25">
      <c r="A35" s="131" t="s">
        <v>72</v>
      </c>
      <c r="B35" s="131">
        <v>1</v>
      </c>
    </row>
    <row r="36" spans="1:2" x14ac:dyDescent="0.25">
      <c r="A36" s="131" t="s">
        <v>72</v>
      </c>
      <c r="B36" s="131">
        <v>1</v>
      </c>
    </row>
    <row r="37" spans="1:2" x14ac:dyDescent="0.25">
      <c r="A37" s="131" t="s">
        <v>64</v>
      </c>
      <c r="B37" s="131">
        <v>1</v>
      </c>
    </row>
    <row r="38" spans="1:2" x14ac:dyDescent="0.25">
      <c r="A38" s="131" t="s">
        <v>29</v>
      </c>
      <c r="B38" s="131">
        <v>1</v>
      </c>
    </row>
    <row r="39" spans="1:2" x14ac:dyDescent="0.25">
      <c r="A39" s="131" t="s">
        <v>43</v>
      </c>
      <c r="B39" s="131">
        <v>1</v>
      </c>
    </row>
    <row r="40" spans="1:2" x14ac:dyDescent="0.25">
      <c r="A40" s="131" t="s">
        <v>76</v>
      </c>
      <c r="B40" s="131">
        <v>1</v>
      </c>
    </row>
    <row r="41" spans="1:2" x14ac:dyDescent="0.25">
      <c r="A41" s="131" t="s">
        <v>76</v>
      </c>
      <c r="B41" s="131">
        <v>1</v>
      </c>
    </row>
    <row r="42" spans="1:2" x14ac:dyDescent="0.25">
      <c r="A42" s="131" t="s">
        <v>50</v>
      </c>
      <c r="B42" s="131">
        <v>1</v>
      </c>
    </row>
    <row r="43" spans="1:2" x14ac:dyDescent="0.25">
      <c r="A43" s="131" t="s">
        <v>76</v>
      </c>
      <c r="B43" s="131">
        <v>1</v>
      </c>
    </row>
    <row r="44" spans="1:2" x14ac:dyDescent="0.25">
      <c r="A44" s="131" t="s">
        <v>58</v>
      </c>
      <c r="B44" s="131">
        <v>1</v>
      </c>
    </row>
    <row r="45" spans="1:2" x14ac:dyDescent="0.25">
      <c r="A45" s="131" t="s">
        <v>64</v>
      </c>
      <c r="B45" s="131">
        <v>1</v>
      </c>
    </row>
    <row r="46" spans="1:2" x14ac:dyDescent="0.25">
      <c r="A46" s="131" t="s">
        <v>45</v>
      </c>
      <c r="B46" s="131">
        <v>1</v>
      </c>
    </row>
    <row r="47" spans="1:2" x14ac:dyDescent="0.25">
      <c r="A47" s="131" t="s">
        <v>78</v>
      </c>
      <c r="B47" s="131">
        <v>1</v>
      </c>
    </row>
    <row r="48" spans="1:2" x14ac:dyDescent="0.25">
      <c r="A48" s="131" t="s">
        <v>58</v>
      </c>
      <c r="B48" s="131">
        <v>1</v>
      </c>
    </row>
    <row r="49" spans="1:2" x14ac:dyDescent="0.25">
      <c r="A49" s="131" t="s">
        <v>10</v>
      </c>
      <c r="B49" s="131">
        <v>1</v>
      </c>
    </row>
    <row r="50" spans="1:2" x14ac:dyDescent="0.25">
      <c r="A50" s="131" t="s">
        <v>53</v>
      </c>
      <c r="B50" s="131">
        <v>1</v>
      </c>
    </row>
    <row r="51" spans="1:2" x14ac:dyDescent="0.25">
      <c r="A51" s="131" t="s">
        <v>46</v>
      </c>
      <c r="B51" s="131">
        <v>1</v>
      </c>
    </row>
    <row r="52" spans="1:2" x14ac:dyDescent="0.25">
      <c r="A52" s="131" t="s">
        <v>60</v>
      </c>
      <c r="B52" s="131">
        <v>-1</v>
      </c>
    </row>
    <row r="53" spans="1:2" x14ac:dyDescent="0.25">
      <c r="A53" s="131" t="s">
        <v>46</v>
      </c>
      <c r="B53" s="131">
        <v>1</v>
      </c>
    </row>
    <row r="54" spans="1:2" x14ac:dyDescent="0.25">
      <c r="A54" s="131" t="s">
        <v>50</v>
      </c>
      <c r="B54" s="131">
        <v>1</v>
      </c>
    </row>
    <row r="55" spans="1:2" x14ac:dyDescent="0.25">
      <c r="A55" s="131" t="s">
        <v>89</v>
      </c>
      <c r="B55" s="131">
        <v>1</v>
      </c>
    </row>
    <row r="56" spans="1:2" x14ac:dyDescent="0.25">
      <c r="A56" s="131" t="s">
        <v>55</v>
      </c>
      <c r="B56" s="131">
        <v>1</v>
      </c>
    </row>
    <row r="57" spans="1:2" x14ac:dyDescent="0.25">
      <c r="A57" s="131" t="s">
        <v>55</v>
      </c>
      <c r="B57" s="131">
        <v>1</v>
      </c>
    </row>
    <row r="58" spans="1:2" x14ac:dyDescent="0.25">
      <c r="A58" s="131" t="s">
        <v>74</v>
      </c>
      <c r="B58" s="131">
        <v>1</v>
      </c>
    </row>
    <row r="59" spans="1:2" x14ac:dyDescent="0.25">
      <c r="A59" s="131" t="s">
        <v>74</v>
      </c>
      <c r="B59" s="131">
        <v>1</v>
      </c>
    </row>
    <row r="60" spans="1:2" x14ac:dyDescent="0.25">
      <c r="A60" s="131" t="s">
        <v>46</v>
      </c>
      <c r="B60" s="131">
        <v>1</v>
      </c>
    </row>
    <row r="61" spans="1:2" x14ac:dyDescent="0.25">
      <c r="A61" s="131" t="s">
        <v>78</v>
      </c>
      <c r="B61" s="131">
        <v>1</v>
      </c>
    </row>
    <row r="62" spans="1:2" x14ac:dyDescent="0.25">
      <c r="A62" s="131" t="s">
        <v>71</v>
      </c>
      <c r="B62" s="131">
        <v>1</v>
      </c>
    </row>
    <row r="63" spans="1:2" x14ac:dyDescent="0.25">
      <c r="A63" s="131" t="s">
        <v>97</v>
      </c>
      <c r="B63" s="131">
        <v>1</v>
      </c>
    </row>
    <row r="64" spans="1:2" x14ac:dyDescent="0.25">
      <c r="A64" s="131" t="s">
        <v>50</v>
      </c>
      <c r="B64" s="131">
        <v>1</v>
      </c>
    </row>
    <row r="65" spans="1:2" x14ac:dyDescent="0.25">
      <c r="A65" s="131" t="s">
        <v>48</v>
      </c>
      <c r="B65" s="131">
        <v>1</v>
      </c>
    </row>
    <row r="66" spans="1:2" x14ac:dyDescent="0.25">
      <c r="A66" s="131" t="s">
        <v>33</v>
      </c>
      <c r="B66" s="131">
        <v>1</v>
      </c>
    </row>
    <row r="67" spans="1:2" x14ac:dyDescent="0.25">
      <c r="A67" s="131" t="s">
        <v>33</v>
      </c>
      <c r="B67" s="131">
        <v>1</v>
      </c>
    </row>
    <row r="68" spans="1:2" x14ac:dyDescent="0.25">
      <c r="A68" s="131" t="s">
        <v>74</v>
      </c>
      <c r="B68" s="131">
        <v>1</v>
      </c>
    </row>
    <row r="69" spans="1:2" x14ac:dyDescent="0.25">
      <c r="A69" s="131" t="s">
        <v>74</v>
      </c>
      <c r="B69" s="131">
        <v>1</v>
      </c>
    </row>
    <row r="70" spans="1:2" x14ac:dyDescent="0.25">
      <c r="A70" s="131" t="s">
        <v>48</v>
      </c>
      <c r="B70" s="131">
        <v>1</v>
      </c>
    </row>
    <row r="71" spans="1:2" x14ac:dyDescent="0.25">
      <c r="A71" s="131" t="s">
        <v>60</v>
      </c>
      <c r="B71" s="131">
        <v>1</v>
      </c>
    </row>
    <row r="72" spans="1:2" x14ac:dyDescent="0.25">
      <c r="A72" s="131" t="s">
        <v>86</v>
      </c>
      <c r="B72" s="131">
        <v>1</v>
      </c>
    </row>
    <row r="73" spans="1:2" x14ac:dyDescent="0.25">
      <c r="A73" s="131" t="s">
        <v>43</v>
      </c>
      <c r="B73" s="131">
        <v>1</v>
      </c>
    </row>
    <row r="74" spans="1:2" x14ac:dyDescent="0.25">
      <c r="A74" s="131" t="s">
        <v>43</v>
      </c>
      <c r="B74" s="131">
        <v>1</v>
      </c>
    </row>
    <row r="75" spans="1:2" x14ac:dyDescent="0.25">
      <c r="A75" s="131" t="s">
        <v>48</v>
      </c>
      <c r="B75" s="131">
        <v>1</v>
      </c>
    </row>
    <row r="76" spans="1:2" x14ac:dyDescent="0.25">
      <c r="A76" s="131" t="s">
        <v>84</v>
      </c>
      <c r="B76" s="131">
        <v>1</v>
      </c>
    </row>
    <row r="77" spans="1:2" x14ac:dyDescent="0.25">
      <c r="A77" s="131" t="s">
        <v>43</v>
      </c>
      <c r="B77" s="131">
        <v>1</v>
      </c>
    </row>
    <row r="78" spans="1:2" x14ac:dyDescent="0.25">
      <c r="A78" s="131" t="s">
        <v>43</v>
      </c>
      <c r="B78" s="131">
        <v>1</v>
      </c>
    </row>
    <row r="79" spans="1:2" x14ac:dyDescent="0.25">
      <c r="A79" s="131" t="s">
        <v>43</v>
      </c>
      <c r="B79" s="131">
        <v>1</v>
      </c>
    </row>
    <row r="80" spans="1:2" x14ac:dyDescent="0.25">
      <c r="A80" s="131" t="s">
        <v>43</v>
      </c>
      <c r="B80" s="131">
        <v>1</v>
      </c>
    </row>
    <row r="81" spans="1:2" x14ac:dyDescent="0.25">
      <c r="A81" s="131" t="s">
        <v>58</v>
      </c>
      <c r="B81" s="131">
        <v>1</v>
      </c>
    </row>
    <row r="82" spans="1:2" x14ac:dyDescent="0.25">
      <c r="A82" s="131" t="s">
        <v>10</v>
      </c>
      <c r="B82" s="131">
        <v>1</v>
      </c>
    </row>
    <row r="83" spans="1:2" x14ac:dyDescent="0.25">
      <c r="A83" s="131" t="s">
        <v>91</v>
      </c>
      <c r="B83" s="131">
        <v>1</v>
      </c>
    </row>
    <row r="84" spans="1:2" x14ac:dyDescent="0.25">
      <c r="A84" s="131" t="s">
        <v>91</v>
      </c>
      <c r="B84" s="131">
        <v>1</v>
      </c>
    </row>
    <row r="85" spans="1:2" x14ac:dyDescent="0.25">
      <c r="A85" s="131" t="s">
        <v>46</v>
      </c>
      <c r="B85" s="131">
        <v>1</v>
      </c>
    </row>
    <row r="86" spans="1:2" x14ac:dyDescent="0.25">
      <c r="A86" s="131" t="s">
        <v>74</v>
      </c>
      <c r="B86" s="131">
        <v>1</v>
      </c>
    </row>
    <row r="87" spans="1:2" x14ac:dyDescent="0.25">
      <c r="A87" s="131" t="s">
        <v>43</v>
      </c>
      <c r="B87" s="131">
        <v>1</v>
      </c>
    </row>
    <row r="88" spans="1:2" x14ac:dyDescent="0.25">
      <c r="A88" s="131" t="s">
        <v>64</v>
      </c>
      <c r="B88" s="131">
        <v>1</v>
      </c>
    </row>
    <row r="89" spans="1:2" x14ac:dyDescent="0.25">
      <c r="A89" s="131" t="s">
        <v>95</v>
      </c>
      <c r="B89" s="131">
        <v>1</v>
      </c>
    </row>
    <row r="90" spans="1:2" x14ac:dyDescent="0.25">
      <c r="A90" s="131" t="s">
        <v>62</v>
      </c>
      <c r="B90" s="131">
        <v>1</v>
      </c>
    </row>
    <row r="91" spans="1:2" x14ac:dyDescent="0.25">
      <c r="A91" s="131" t="s">
        <v>86</v>
      </c>
      <c r="B91" s="131">
        <v>-1</v>
      </c>
    </row>
    <row r="92" spans="1:2" x14ac:dyDescent="0.25">
      <c r="A92" s="131" t="s">
        <v>93</v>
      </c>
      <c r="B92" s="131">
        <v>1</v>
      </c>
    </row>
    <row r="93" spans="1:2" x14ac:dyDescent="0.25">
      <c r="A93" s="131" t="s">
        <v>82</v>
      </c>
      <c r="B93" s="131">
        <v>1</v>
      </c>
    </row>
    <row r="94" spans="1:2" x14ac:dyDescent="0.25">
      <c r="A94" s="131" t="s">
        <v>47</v>
      </c>
      <c r="B94" s="131">
        <v>1</v>
      </c>
    </row>
    <row r="95" spans="1:2" x14ac:dyDescent="0.25">
      <c r="A95" s="131" t="s">
        <v>74</v>
      </c>
      <c r="B95" s="131">
        <v>1</v>
      </c>
    </row>
    <row r="96" spans="1:2" x14ac:dyDescent="0.25">
      <c r="A96" s="131" t="s">
        <v>43</v>
      </c>
      <c r="B96" s="131">
        <v>1</v>
      </c>
    </row>
    <row r="97" spans="1:2" x14ac:dyDescent="0.25">
      <c r="A97" s="131" t="s">
        <v>43</v>
      </c>
      <c r="B97" s="131">
        <v>1</v>
      </c>
    </row>
    <row r="98" spans="1:2" x14ac:dyDescent="0.25">
      <c r="A98" s="131" t="s">
        <v>43</v>
      </c>
      <c r="B98" s="131">
        <v>1</v>
      </c>
    </row>
    <row r="99" spans="1:2" x14ac:dyDescent="0.25">
      <c r="A99" s="131" t="s">
        <v>48</v>
      </c>
      <c r="B99" s="131">
        <v>1</v>
      </c>
    </row>
    <row r="100" spans="1:2" x14ac:dyDescent="0.25">
      <c r="A100" s="131" t="s">
        <v>74</v>
      </c>
      <c r="B100" s="131">
        <v>1</v>
      </c>
    </row>
    <row r="101" spans="1:2" x14ac:dyDescent="0.25">
      <c r="A101" s="131" t="s">
        <v>47</v>
      </c>
      <c r="B101" s="131">
        <v>1</v>
      </c>
    </row>
    <row r="102" spans="1:2" x14ac:dyDescent="0.25">
      <c r="A102" s="131" t="s">
        <v>36</v>
      </c>
      <c r="B102" s="131">
        <v>1</v>
      </c>
    </row>
    <row r="103" spans="1:2" x14ac:dyDescent="0.25">
      <c r="A103" s="131" t="s">
        <v>50</v>
      </c>
      <c r="B103" s="131">
        <v>1</v>
      </c>
    </row>
    <row r="104" spans="1:2" x14ac:dyDescent="0.25">
      <c r="A104" s="131" t="s">
        <v>46</v>
      </c>
      <c r="B104" s="131">
        <v>1</v>
      </c>
    </row>
    <row r="105" spans="1:2" x14ac:dyDescent="0.25">
      <c r="A105" s="131" t="s">
        <v>10</v>
      </c>
      <c r="B105" s="131">
        <v>1</v>
      </c>
    </row>
    <row r="106" spans="1:2" x14ac:dyDescent="0.25">
      <c r="A106" s="131" t="s">
        <v>76</v>
      </c>
      <c r="B106" s="131">
        <v>1</v>
      </c>
    </row>
    <row r="107" spans="1:2" x14ac:dyDescent="0.25">
      <c r="A107" s="131" t="s">
        <v>74</v>
      </c>
      <c r="B107" s="131">
        <v>1</v>
      </c>
    </row>
    <row r="108" spans="1:2" x14ac:dyDescent="0.25">
      <c r="A108" s="131" t="s">
        <v>58</v>
      </c>
      <c r="B108" s="131">
        <v>1</v>
      </c>
    </row>
    <row r="109" spans="1:2" x14ac:dyDescent="0.25">
      <c r="A109" s="131" t="s">
        <v>74</v>
      </c>
      <c r="B109" s="131">
        <v>1</v>
      </c>
    </row>
    <row r="110" spans="1:2" x14ac:dyDescent="0.25">
      <c r="A110" s="131" t="s">
        <v>46</v>
      </c>
      <c r="B110" s="131">
        <v>1</v>
      </c>
    </row>
    <row r="111" spans="1:2" x14ac:dyDescent="0.25">
      <c r="A111" s="131" t="s">
        <v>46</v>
      </c>
      <c r="B111" s="131">
        <v>1</v>
      </c>
    </row>
    <row r="112" spans="1:2" x14ac:dyDescent="0.25">
      <c r="A112" s="131" t="s">
        <v>46</v>
      </c>
      <c r="B112" s="131">
        <v>1</v>
      </c>
    </row>
    <row r="113" spans="1:2" x14ac:dyDescent="0.25">
      <c r="A113" s="131" t="s">
        <v>86</v>
      </c>
      <c r="B113" s="131">
        <v>1</v>
      </c>
    </row>
    <row r="114" spans="1:2" x14ac:dyDescent="0.25">
      <c r="A114" s="131" t="s">
        <v>50</v>
      </c>
      <c r="B114" s="131">
        <v>1</v>
      </c>
    </row>
    <row r="115" spans="1:2" x14ac:dyDescent="0.25">
      <c r="A115" s="131" t="s">
        <v>50</v>
      </c>
      <c r="B115" s="131">
        <v>1</v>
      </c>
    </row>
    <row r="116" spans="1:2" x14ac:dyDescent="0.25">
      <c r="A116" s="131" t="s">
        <v>60</v>
      </c>
      <c r="B116" s="131">
        <v>1</v>
      </c>
    </row>
    <row r="117" spans="1:2" x14ac:dyDescent="0.25">
      <c r="A117" s="131" t="s">
        <v>76</v>
      </c>
      <c r="B117" s="131">
        <v>1</v>
      </c>
    </row>
    <row r="118" spans="1:2" x14ac:dyDescent="0.25">
      <c r="A118" s="131" t="s">
        <v>76</v>
      </c>
      <c r="B118" s="131">
        <v>1</v>
      </c>
    </row>
    <row r="119" spans="1:2" x14ac:dyDescent="0.25">
      <c r="A119" s="131" t="s">
        <v>76</v>
      </c>
      <c r="B119" s="131">
        <v>1</v>
      </c>
    </row>
    <row r="120" spans="1:2" x14ac:dyDescent="0.25">
      <c r="A120" s="131" t="s">
        <v>76</v>
      </c>
    </row>
    <row r="121" spans="1:2" x14ac:dyDescent="0.25">
      <c r="A121" s="131" t="s">
        <v>64</v>
      </c>
      <c r="B121" s="131">
        <v>1</v>
      </c>
    </row>
    <row r="122" spans="1:2" x14ac:dyDescent="0.25">
      <c r="A122" s="131" t="s">
        <v>89</v>
      </c>
      <c r="B122" s="131">
        <v>1</v>
      </c>
    </row>
    <row r="123" spans="1:2" x14ac:dyDescent="0.25">
      <c r="A123" s="131" t="s">
        <v>29</v>
      </c>
      <c r="B123" s="131">
        <v>1</v>
      </c>
    </row>
    <row r="124" spans="1:2" x14ac:dyDescent="0.25">
      <c r="A124" s="131" t="s">
        <v>48</v>
      </c>
      <c r="B124" s="131">
        <v>1</v>
      </c>
    </row>
    <row r="125" spans="1:2" x14ac:dyDescent="0.25">
      <c r="A125" s="131" t="s">
        <v>10</v>
      </c>
      <c r="B125" s="131">
        <v>1</v>
      </c>
    </row>
    <row r="126" spans="1:2" x14ac:dyDescent="0.25">
      <c r="A126" s="131" t="s">
        <v>50</v>
      </c>
      <c r="B126" s="131">
        <v>1</v>
      </c>
    </row>
    <row r="127" spans="1:2" x14ac:dyDescent="0.25">
      <c r="A127" s="131" t="s">
        <v>82</v>
      </c>
      <c r="B127" s="131">
        <v>1</v>
      </c>
    </row>
    <row r="128" spans="1:2" x14ac:dyDescent="0.25">
      <c r="A128" s="131" t="s">
        <v>82</v>
      </c>
      <c r="B128" s="131">
        <v>1</v>
      </c>
    </row>
    <row r="129" spans="1:2" x14ac:dyDescent="0.25">
      <c r="A129" s="131" t="s">
        <v>43</v>
      </c>
      <c r="B129" s="131">
        <v>1</v>
      </c>
    </row>
    <row r="130" spans="1:2" x14ac:dyDescent="0.25">
      <c r="A130" s="131" t="s">
        <v>74</v>
      </c>
      <c r="B130" s="131">
        <v>1</v>
      </c>
    </row>
    <row r="131" spans="1:2" x14ac:dyDescent="0.25">
      <c r="A131" s="131" t="s">
        <v>28</v>
      </c>
      <c r="B131" s="131">
        <v>1</v>
      </c>
    </row>
    <row r="132" spans="1:2" x14ac:dyDescent="0.25">
      <c r="A132" s="131" t="s">
        <v>28</v>
      </c>
      <c r="B132" s="131">
        <v>1</v>
      </c>
    </row>
    <row r="133" spans="1:2" x14ac:dyDescent="0.25">
      <c r="A133" s="131" t="s">
        <v>86</v>
      </c>
      <c r="B133" s="131">
        <v>-1</v>
      </c>
    </row>
    <row r="134" spans="1:2" x14ac:dyDescent="0.25">
      <c r="A134" s="131" t="s">
        <v>86</v>
      </c>
      <c r="B134" s="131">
        <v>-1</v>
      </c>
    </row>
    <row r="135" spans="1:2" x14ac:dyDescent="0.25">
      <c r="A135" s="131" t="s">
        <v>47</v>
      </c>
      <c r="B135" s="131">
        <v>1</v>
      </c>
    </row>
    <row r="136" spans="1:2" x14ac:dyDescent="0.25">
      <c r="A136" s="131" t="s">
        <v>47</v>
      </c>
      <c r="B136" s="131">
        <v>1</v>
      </c>
    </row>
    <row r="137" spans="1:2" x14ac:dyDescent="0.25">
      <c r="A137" s="131" t="s">
        <v>55</v>
      </c>
      <c r="B137" s="131">
        <v>1</v>
      </c>
    </row>
    <row r="138" spans="1:2" x14ac:dyDescent="0.25">
      <c r="A138" s="131" t="s">
        <v>60</v>
      </c>
      <c r="B138" s="131">
        <v>1</v>
      </c>
    </row>
    <row r="139" spans="1:2" x14ac:dyDescent="0.25">
      <c r="A139" s="131" t="s">
        <v>68</v>
      </c>
      <c r="B139" s="131">
        <v>1</v>
      </c>
    </row>
    <row r="140" spans="1:2" x14ac:dyDescent="0.25">
      <c r="A140" s="131" t="s">
        <v>82</v>
      </c>
      <c r="B140" s="131">
        <v>1</v>
      </c>
    </row>
    <row r="141" spans="1:2" x14ac:dyDescent="0.25">
      <c r="A141" s="131" t="s">
        <v>76</v>
      </c>
      <c r="B141" s="131">
        <v>1</v>
      </c>
    </row>
    <row r="142" spans="1:2" x14ac:dyDescent="0.25">
      <c r="A142" s="131" t="s">
        <v>97</v>
      </c>
      <c r="B142" s="131">
        <v>1</v>
      </c>
    </row>
    <row r="143" spans="1:2" x14ac:dyDescent="0.25">
      <c r="A143" s="131" t="s">
        <v>45</v>
      </c>
      <c r="B143" s="131">
        <v>1</v>
      </c>
    </row>
    <row r="144" spans="1:2" x14ac:dyDescent="0.25">
      <c r="A144" s="131" t="s">
        <v>74</v>
      </c>
      <c r="B144" s="131">
        <v>1</v>
      </c>
    </row>
    <row r="145" spans="1:2" x14ac:dyDescent="0.25">
      <c r="A145" s="131" t="s">
        <v>45</v>
      </c>
      <c r="B145" s="131">
        <v>1</v>
      </c>
    </row>
    <row r="146" spans="1:2" x14ac:dyDescent="0.25">
      <c r="A146" s="131" t="s">
        <v>47</v>
      </c>
      <c r="B146" s="131">
        <v>1</v>
      </c>
    </row>
    <row r="147" spans="1:2" x14ac:dyDescent="0.25">
      <c r="A147" s="131" t="s">
        <v>78</v>
      </c>
      <c r="B147" s="131">
        <v>1</v>
      </c>
    </row>
    <row r="148" spans="1:2" x14ac:dyDescent="0.25">
      <c r="A148" s="131" t="s">
        <v>50</v>
      </c>
      <c r="B148" s="131">
        <v>1</v>
      </c>
    </row>
    <row r="149" spans="1:2" x14ac:dyDescent="0.25">
      <c r="A149" s="131" t="s">
        <v>78</v>
      </c>
      <c r="B149" s="131">
        <v>1</v>
      </c>
    </row>
    <row r="150" spans="1:2" x14ac:dyDescent="0.25">
      <c r="A150" s="131" t="s">
        <v>43</v>
      </c>
      <c r="B150" s="131">
        <v>1</v>
      </c>
    </row>
    <row r="151" spans="1:2" x14ac:dyDescent="0.25">
      <c r="A151" s="131" t="s">
        <v>76</v>
      </c>
      <c r="B151" s="131">
        <v>1</v>
      </c>
    </row>
    <row r="152" spans="1:2" x14ac:dyDescent="0.25">
      <c r="A152" s="131" t="s">
        <v>74</v>
      </c>
      <c r="B152" s="131">
        <v>1</v>
      </c>
    </row>
    <row r="153" spans="1:2" x14ac:dyDescent="0.25">
      <c r="A153" s="131" t="s">
        <v>45</v>
      </c>
      <c r="B153" s="131">
        <v>1</v>
      </c>
    </row>
    <row r="154" spans="1:2" x14ac:dyDescent="0.25">
      <c r="A154" s="131" t="s">
        <v>45</v>
      </c>
      <c r="B154" s="131">
        <v>1</v>
      </c>
    </row>
    <row r="155" spans="1:2" x14ac:dyDescent="0.25">
      <c r="A155" s="131" t="s">
        <v>97</v>
      </c>
      <c r="B155" s="131">
        <v>1</v>
      </c>
    </row>
    <row r="156" spans="1:2" x14ac:dyDescent="0.25">
      <c r="A156" s="131" t="s">
        <v>62</v>
      </c>
      <c r="B156" s="131">
        <v>1</v>
      </c>
    </row>
    <row r="157" spans="1:2" x14ac:dyDescent="0.25">
      <c r="A157" s="131" t="s">
        <v>46</v>
      </c>
      <c r="B157" s="131">
        <v>1</v>
      </c>
    </row>
    <row r="158" spans="1:2" x14ac:dyDescent="0.25">
      <c r="A158" s="131" t="s">
        <v>76</v>
      </c>
      <c r="B158" s="131">
        <v>1</v>
      </c>
    </row>
    <row r="159" spans="1:2" x14ac:dyDescent="0.25">
      <c r="A159" s="131" t="s">
        <v>74</v>
      </c>
      <c r="B159" s="131">
        <v>1</v>
      </c>
    </row>
    <row r="160" spans="1:2" x14ac:dyDescent="0.25">
      <c r="A160" s="131" t="s">
        <v>60</v>
      </c>
      <c r="B160" s="131">
        <v>1</v>
      </c>
    </row>
    <row r="161" spans="1:2" x14ac:dyDescent="0.25">
      <c r="A161" s="131" t="s">
        <v>60</v>
      </c>
      <c r="B161" s="131">
        <v>1</v>
      </c>
    </row>
    <row r="162" spans="1:2" x14ac:dyDescent="0.25">
      <c r="A162" s="131" t="s">
        <v>86</v>
      </c>
      <c r="B162" s="131">
        <v>1</v>
      </c>
    </row>
    <row r="163" spans="1:2" x14ac:dyDescent="0.25">
      <c r="A163" s="131" t="s">
        <v>86</v>
      </c>
      <c r="B163" s="131">
        <v>1</v>
      </c>
    </row>
    <row r="164" spans="1:2" x14ac:dyDescent="0.25">
      <c r="A164" s="131" t="s">
        <v>74</v>
      </c>
      <c r="B164" s="131">
        <v>1</v>
      </c>
    </row>
    <row r="165" spans="1:2" x14ac:dyDescent="0.25">
      <c r="A165" s="131" t="s">
        <v>74</v>
      </c>
      <c r="B165" s="131">
        <v>1</v>
      </c>
    </row>
    <row r="166" spans="1:2" x14ac:dyDescent="0.25">
      <c r="A166" s="131" t="s">
        <v>45</v>
      </c>
      <c r="B166" s="131">
        <v>1</v>
      </c>
    </row>
    <row r="167" spans="1:2" x14ac:dyDescent="0.25">
      <c r="A167" s="131" t="s">
        <v>82</v>
      </c>
      <c r="B167" s="131">
        <v>1</v>
      </c>
    </row>
    <row r="168" spans="1:2" x14ac:dyDescent="0.25">
      <c r="A168" s="131" t="s">
        <v>58</v>
      </c>
      <c r="B168" s="131">
        <v>1</v>
      </c>
    </row>
    <row r="169" spans="1:2" x14ac:dyDescent="0.25">
      <c r="A169" s="131" t="s">
        <v>76</v>
      </c>
      <c r="B169" s="131">
        <v>1</v>
      </c>
    </row>
    <row r="170" spans="1:2" x14ac:dyDescent="0.25">
      <c r="A170" s="131" t="s">
        <v>74</v>
      </c>
      <c r="B170" s="131">
        <v>1</v>
      </c>
    </row>
    <row r="171" spans="1:2" x14ac:dyDescent="0.25">
      <c r="A171" s="131" t="s">
        <v>89</v>
      </c>
      <c r="B171" s="131">
        <v>1</v>
      </c>
    </row>
    <row r="172" spans="1:2" x14ac:dyDescent="0.25">
      <c r="A172" s="131" t="s">
        <v>60</v>
      </c>
      <c r="B172" s="131">
        <v>1</v>
      </c>
    </row>
    <row r="173" spans="1:2" x14ac:dyDescent="0.25">
      <c r="A173" s="131" t="s">
        <v>89</v>
      </c>
      <c r="B173" s="131">
        <v>1</v>
      </c>
    </row>
    <row r="174" spans="1:2" x14ac:dyDescent="0.25">
      <c r="A174" s="131" t="s">
        <v>72</v>
      </c>
      <c r="B174" s="131">
        <v>1</v>
      </c>
    </row>
    <row r="175" spans="1:2" x14ac:dyDescent="0.25">
      <c r="A175" s="131" t="s">
        <v>72</v>
      </c>
      <c r="B175" s="131">
        <v>1</v>
      </c>
    </row>
    <row r="176" spans="1:2" x14ac:dyDescent="0.25">
      <c r="A176" s="131" t="s">
        <v>50</v>
      </c>
      <c r="B176" s="131">
        <v>1</v>
      </c>
    </row>
    <row r="177" spans="1:2" x14ac:dyDescent="0.25">
      <c r="A177" s="131" t="s">
        <v>50</v>
      </c>
      <c r="B177" s="131">
        <v>1</v>
      </c>
    </row>
    <row r="178" spans="1:2" x14ac:dyDescent="0.25">
      <c r="A178" s="131" t="s">
        <v>50</v>
      </c>
      <c r="B178" s="131">
        <v>1</v>
      </c>
    </row>
    <row r="179" spans="1:2" x14ac:dyDescent="0.25">
      <c r="A179" s="131" t="s">
        <v>78</v>
      </c>
      <c r="B179" s="131">
        <v>1</v>
      </c>
    </row>
    <row r="180" spans="1:2" x14ac:dyDescent="0.25">
      <c r="A180" s="131" t="s">
        <v>78</v>
      </c>
      <c r="B180" s="131">
        <v>1</v>
      </c>
    </row>
    <row r="181" spans="1:2" x14ac:dyDescent="0.25">
      <c r="A181" s="131" t="s">
        <v>78</v>
      </c>
      <c r="B181" s="131">
        <v>1</v>
      </c>
    </row>
    <row r="182" spans="1:2" x14ac:dyDescent="0.25">
      <c r="A182" s="131" t="s">
        <v>10</v>
      </c>
      <c r="B182" s="131">
        <v>1</v>
      </c>
    </row>
    <row r="183" spans="1:2" x14ac:dyDescent="0.25">
      <c r="A183" s="131" t="s">
        <v>36</v>
      </c>
      <c r="B183" s="131">
        <v>1</v>
      </c>
    </row>
    <row r="184" spans="1:2" x14ac:dyDescent="0.25">
      <c r="A184" s="131" t="s">
        <v>71</v>
      </c>
      <c r="B184" s="131">
        <v>1</v>
      </c>
    </row>
    <row r="185" spans="1:2" x14ac:dyDescent="0.25">
      <c r="A185" s="131" t="s">
        <v>43</v>
      </c>
      <c r="B185" s="131">
        <v>1</v>
      </c>
    </row>
    <row r="186" spans="1:2" x14ac:dyDescent="0.25">
      <c r="A186" s="131" t="s">
        <v>55</v>
      </c>
      <c r="B186" s="131">
        <v>1</v>
      </c>
    </row>
    <row r="187" spans="1:2" x14ac:dyDescent="0.25">
      <c r="A187" s="131" t="s">
        <v>58</v>
      </c>
      <c r="B187" s="131">
        <v>1</v>
      </c>
    </row>
    <row r="188" spans="1:2" x14ac:dyDescent="0.25">
      <c r="A188" s="131" t="s">
        <v>74</v>
      </c>
      <c r="B188" s="131">
        <v>1</v>
      </c>
    </row>
    <row r="189" spans="1:2" x14ac:dyDescent="0.25">
      <c r="A189" s="131" t="s">
        <v>74</v>
      </c>
      <c r="B189" s="131">
        <v>1</v>
      </c>
    </row>
    <row r="190" spans="1:2" x14ac:dyDescent="0.25">
      <c r="A190" s="131" t="s">
        <v>71</v>
      </c>
      <c r="B190" s="131">
        <v>1</v>
      </c>
    </row>
    <row r="191" spans="1:2" x14ac:dyDescent="0.25">
      <c r="A191" s="131" t="s">
        <v>58</v>
      </c>
      <c r="B191" s="131">
        <v>1</v>
      </c>
    </row>
    <row r="192" spans="1:2" x14ac:dyDescent="0.25">
      <c r="A192" s="131" t="s">
        <v>33</v>
      </c>
      <c r="B192" s="131">
        <v>1</v>
      </c>
    </row>
    <row r="193" spans="1:2" x14ac:dyDescent="0.25">
      <c r="A193" s="131" t="s">
        <v>50</v>
      </c>
      <c r="B193" s="131">
        <v>1</v>
      </c>
    </row>
    <row r="194" spans="1:2" x14ac:dyDescent="0.25">
      <c r="A194" s="131" t="s">
        <v>74</v>
      </c>
      <c r="B194" s="131">
        <v>1</v>
      </c>
    </row>
    <row r="195" spans="1:2" x14ac:dyDescent="0.25">
      <c r="A195" s="131" t="s">
        <v>74</v>
      </c>
      <c r="B195" s="131">
        <v>1</v>
      </c>
    </row>
    <row r="196" spans="1:2" x14ac:dyDescent="0.25">
      <c r="A196" s="131" t="s">
        <v>62</v>
      </c>
      <c r="B196" s="131">
        <v>1</v>
      </c>
    </row>
    <row r="197" spans="1:2" x14ac:dyDescent="0.25">
      <c r="A197" s="131" t="s">
        <v>41</v>
      </c>
      <c r="B197" s="131">
        <v>1</v>
      </c>
    </row>
    <row r="198" spans="1:2" x14ac:dyDescent="0.25">
      <c r="A198" s="131" t="s">
        <v>48</v>
      </c>
      <c r="B198" s="131">
        <v>1</v>
      </c>
    </row>
    <row r="199" spans="1:2" x14ac:dyDescent="0.25">
      <c r="A199" s="131" t="s">
        <v>10</v>
      </c>
      <c r="B199" s="131">
        <v>1</v>
      </c>
    </row>
    <row r="200" spans="1:2" x14ac:dyDescent="0.25">
      <c r="A200" s="131" t="s">
        <v>43</v>
      </c>
      <c r="B200" s="131">
        <v>1</v>
      </c>
    </row>
    <row r="201" spans="1:2" x14ac:dyDescent="0.25">
      <c r="A201" s="131" t="s">
        <v>76</v>
      </c>
      <c r="B201" s="131">
        <v>1</v>
      </c>
    </row>
    <row r="202" spans="1:2" x14ac:dyDescent="0.25">
      <c r="A202" s="131" t="s">
        <v>76</v>
      </c>
      <c r="B202" s="131">
        <v>1</v>
      </c>
    </row>
    <row r="203" spans="1:2" x14ac:dyDescent="0.25">
      <c r="A203" s="131" t="s">
        <v>64</v>
      </c>
      <c r="B203" s="131">
        <v>1</v>
      </c>
    </row>
    <row r="204" spans="1:2" x14ac:dyDescent="0.25">
      <c r="A204" s="131" t="s">
        <v>47</v>
      </c>
      <c r="B204" s="131">
        <v>1</v>
      </c>
    </row>
    <row r="205" spans="1:2" x14ac:dyDescent="0.25">
      <c r="A205" s="131" t="s">
        <v>74</v>
      </c>
      <c r="B205" s="131">
        <v>1</v>
      </c>
    </row>
    <row r="206" spans="1:2" x14ac:dyDescent="0.25">
      <c r="A206" s="131" t="s">
        <v>89</v>
      </c>
      <c r="B206" s="131">
        <v>1</v>
      </c>
    </row>
    <row r="207" spans="1:2" x14ac:dyDescent="0.25">
      <c r="A207" s="131" t="s">
        <v>41</v>
      </c>
      <c r="B207" s="131">
        <v>1</v>
      </c>
    </row>
    <row r="208" spans="1:2" x14ac:dyDescent="0.25">
      <c r="A208" s="131" t="s">
        <v>43</v>
      </c>
      <c r="B208" s="131">
        <v>1</v>
      </c>
    </row>
    <row r="209" spans="1:2" x14ac:dyDescent="0.25">
      <c r="A209" s="131" t="s">
        <v>29</v>
      </c>
      <c r="B209" s="131">
        <v>1</v>
      </c>
    </row>
    <row r="210" spans="1:2" x14ac:dyDescent="0.25">
      <c r="A210" s="131" t="s">
        <v>50</v>
      </c>
      <c r="B210" s="131">
        <v>1</v>
      </c>
    </row>
    <row r="211" spans="1:2" x14ac:dyDescent="0.25">
      <c r="A211" s="131" t="s">
        <v>60</v>
      </c>
      <c r="B211" s="131">
        <v>1</v>
      </c>
    </row>
    <row r="212" spans="1:2" x14ac:dyDescent="0.25">
      <c r="A212" s="131" t="s">
        <v>89</v>
      </c>
      <c r="B212" s="131">
        <v>1</v>
      </c>
    </row>
    <row r="213" spans="1:2" x14ac:dyDescent="0.25">
      <c r="A213" s="131" t="s">
        <v>76</v>
      </c>
      <c r="B213" s="131">
        <v>1</v>
      </c>
    </row>
    <row r="214" spans="1:2" x14ac:dyDescent="0.25">
      <c r="A214" s="131" t="s">
        <v>47</v>
      </c>
      <c r="B214" s="131">
        <v>1</v>
      </c>
    </row>
    <row r="215" spans="1:2" x14ac:dyDescent="0.25">
      <c r="A215" s="131" t="s">
        <v>29</v>
      </c>
      <c r="B215" s="131">
        <v>1</v>
      </c>
    </row>
    <row r="216" spans="1:2" x14ac:dyDescent="0.25">
      <c r="A216" s="131" t="s">
        <v>78</v>
      </c>
      <c r="B216" s="131">
        <v>1</v>
      </c>
    </row>
    <row r="217" spans="1:2" x14ac:dyDescent="0.25">
      <c r="A217" s="131" t="s">
        <v>48</v>
      </c>
      <c r="B217" s="131">
        <v>1</v>
      </c>
    </row>
    <row r="218" spans="1:2" x14ac:dyDescent="0.25">
      <c r="A218" s="131" t="s">
        <v>76</v>
      </c>
      <c r="B218" s="131">
        <v>1</v>
      </c>
    </row>
    <row r="219" spans="1:2" x14ac:dyDescent="0.25">
      <c r="A219" s="131" t="s">
        <v>10</v>
      </c>
      <c r="B219" s="131">
        <v>1</v>
      </c>
    </row>
    <row r="220" spans="1:2" x14ac:dyDescent="0.25">
      <c r="A220" s="131" t="s">
        <v>78</v>
      </c>
      <c r="B220" s="131">
        <v>1</v>
      </c>
    </row>
    <row r="221" spans="1:2" x14ac:dyDescent="0.25">
      <c r="A221" s="131" t="s">
        <v>86</v>
      </c>
      <c r="B221" s="131">
        <v>1</v>
      </c>
    </row>
    <row r="222" spans="1:2" x14ac:dyDescent="0.25">
      <c r="A222" s="131" t="s">
        <v>76</v>
      </c>
      <c r="B222" s="131">
        <v>1</v>
      </c>
    </row>
    <row r="223" spans="1:2" x14ac:dyDescent="0.25">
      <c r="A223" s="131" t="s">
        <v>43</v>
      </c>
      <c r="B223" s="131">
        <v>1</v>
      </c>
    </row>
    <row r="224" spans="1:2" x14ac:dyDescent="0.25">
      <c r="A224" s="131" t="s">
        <v>46</v>
      </c>
      <c r="B224" s="131">
        <v>1</v>
      </c>
    </row>
    <row r="225" spans="1:2" x14ac:dyDescent="0.25">
      <c r="A225" s="131" t="s">
        <v>62</v>
      </c>
      <c r="B225" s="131">
        <v>1</v>
      </c>
    </row>
    <row r="226" spans="1:2" x14ac:dyDescent="0.25">
      <c r="A226" s="131" t="s">
        <v>29</v>
      </c>
      <c r="B226" s="131">
        <v>1</v>
      </c>
    </row>
    <row r="227" spans="1:2" x14ac:dyDescent="0.25">
      <c r="A227" s="131" t="s">
        <v>41</v>
      </c>
      <c r="B227" s="131">
        <v>1</v>
      </c>
    </row>
    <row r="228" spans="1:2" x14ac:dyDescent="0.25">
      <c r="A228" s="131" t="s">
        <v>60</v>
      </c>
      <c r="B228" s="131">
        <v>1</v>
      </c>
    </row>
    <row r="229" spans="1:2" x14ac:dyDescent="0.25">
      <c r="A229" s="131" t="s">
        <v>86</v>
      </c>
      <c r="B229" s="131">
        <v>1</v>
      </c>
    </row>
    <row r="230" spans="1:2" x14ac:dyDescent="0.25">
      <c r="A230" s="131" t="s">
        <v>86</v>
      </c>
      <c r="B230" s="131">
        <v>-1</v>
      </c>
    </row>
    <row r="231" spans="1:2" x14ac:dyDescent="0.25">
      <c r="A231" s="131" t="s">
        <v>62</v>
      </c>
      <c r="B231" s="131">
        <v>1</v>
      </c>
    </row>
    <row r="232" spans="1:2" x14ac:dyDescent="0.25">
      <c r="A232" s="131" t="s">
        <v>48</v>
      </c>
      <c r="B232" s="131">
        <v>1</v>
      </c>
    </row>
    <row r="233" spans="1:2" x14ac:dyDescent="0.25">
      <c r="A233" s="131" t="s">
        <v>48</v>
      </c>
      <c r="B233" s="131">
        <v>1</v>
      </c>
    </row>
    <row r="234" spans="1:2" x14ac:dyDescent="0.25">
      <c r="A234" s="131" t="s">
        <v>48</v>
      </c>
      <c r="B234" s="131">
        <v>1</v>
      </c>
    </row>
    <row r="235" spans="1:2" x14ac:dyDescent="0.25">
      <c r="A235" s="131" t="s">
        <v>62</v>
      </c>
      <c r="B235" s="131">
        <v>1</v>
      </c>
    </row>
    <row r="236" spans="1:2" x14ac:dyDescent="0.25">
      <c r="A236" s="131" t="s">
        <v>53</v>
      </c>
      <c r="B236" s="131">
        <v>1</v>
      </c>
    </row>
    <row r="237" spans="1:2" x14ac:dyDescent="0.25">
      <c r="A237" s="131" t="s">
        <v>48</v>
      </c>
      <c r="B237" s="131">
        <v>1</v>
      </c>
    </row>
    <row r="238" spans="1:2" x14ac:dyDescent="0.25">
      <c r="A238" s="131" t="s">
        <v>10</v>
      </c>
      <c r="B238" s="131">
        <v>1</v>
      </c>
    </row>
    <row r="239" spans="1:2" x14ac:dyDescent="0.25">
      <c r="A239" s="131" t="s">
        <v>10</v>
      </c>
      <c r="B239" s="131">
        <v>1</v>
      </c>
    </row>
    <row r="240" spans="1:2" x14ac:dyDescent="0.25">
      <c r="A240" s="131" t="s">
        <v>69</v>
      </c>
      <c r="B240" s="131">
        <v>1</v>
      </c>
    </row>
    <row r="241" spans="1:2" x14ac:dyDescent="0.25">
      <c r="A241" s="131" t="s">
        <v>36</v>
      </c>
      <c r="B241" s="131">
        <v>1</v>
      </c>
    </row>
    <row r="242" spans="1:2" x14ac:dyDescent="0.25">
      <c r="A242" s="131" t="s">
        <v>10</v>
      </c>
      <c r="B242" s="131">
        <v>1</v>
      </c>
    </row>
    <row r="243" spans="1:2" x14ac:dyDescent="0.25">
      <c r="A243" s="131" t="s">
        <v>29</v>
      </c>
      <c r="B243" s="131">
        <v>1</v>
      </c>
    </row>
    <row r="244" spans="1:2" x14ac:dyDescent="0.25">
      <c r="A244" s="131" t="s">
        <v>29</v>
      </c>
      <c r="B244" s="131">
        <v>1</v>
      </c>
    </row>
    <row r="245" spans="1:2" x14ac:dyDescent="0.25">
      <c r="A245" s="131" t="s">
        <v>47</v>
      </c>
      <c r="B245" s="131">
        <v>1</v>
      </c>
    </row>
    <row r="246" spans="1:2" x14ac:dyDescent="0.25">
      <c r="A246" s="131" t="s">
        <v>46</v>
      </c>
      <c r="B246" s="131">
        <v>1</v>
      </c>
    </row>
    <row r="247" spans="1:2" x14ac:dyDescent="0.25">
      <c r="A247" s="131" t="s">
        <v>46</v>
      </c>
      <c r="B247" s="131">
        <v>1</v>
      </c>
    </row>
    <row r="248" spans="1:2" x14ac:dyDescent="0.25">
      <c r="A248" s="131" t="s">
        <v>46</v>
      </c>
      <c r="B248" s="131">
        <v>1</v>
      </c>
    </row>
    <row r="249" spans="1:2" x14ac:dyDescent="0.25">
      <c r="A249" s="131" t="s">
        <v>68</v>
      </c>
      <c r="B249" s="131">
        <v>1</v>
      </c>
    </row>
    <row r="250" spans="1:2" x14ac:dyDescent="0.25">
      <c r="A250" s="131" t="s">
        <v>10</v>
      </c>
      <c r="B250" s="131">
        <v>1</v>
      </c>
    </row>
    <row r="251" spans="1:2" x14ac:dyDescent="0.25">
      <c r="A251" s="131" t="s">
        <v>43</v>
      </c>
      <c r="B251" s="131">
        <v>1</v>
      </c>
    </row>
    <row r="252" spans="1:2" x14ac:dyDescent="0.25">
      <c r="A252" s="131" t="s">
        <v>50</v>
      </c>
      <c r="B252" s="131">
        <v>1</v>
      </c>
    </row>
    <row r="253" spans="1:2" x14ac:dyDescent="0.25">
      <c r="A253" s="131" t="s">
        <v>10</v>
      </c>
      <c r="B253" s="131">
        <v>1</v>
      </c>
    </row>
    <row r="254" spans="1:2" x14ac:dyDescent="0.25">
      <c r="A254" s="131" t="s">
        <v>58</v>
      </c>
      <c r="B254" s="131">
        <v>1</v>
      </c>
    </row>
    <row r="255" spans="1:2" x14ac:dyDescent="0.25">
      <c r="A255" s="131" t="s">
        <v>74</v>
      </c>
      <c r="B255" s="131">
        <v>1</v>
      </c>
    </row>
    <row r="256" spans="1:2" x14ac:dyDescent="0.25">
      <c r="A256" s="131" t="s">
        <v>74</v>
      </c>
      <c r="B256" s="131">
        <v>1</v>
      </c>
    </row>
    <row r="257" spans="1:2" x14ac:dyDescent="0.25">
      <c r="A257" s="131" t="s">
        <v>74</v>
      </c>
      <c r="B257" s="131">
        <v>1</v>
      </c>
    </row>
    <row r="258" spans="1:2" x14ac:dyDescent="0.25">
      <c r="A258" s="131" t="s">
        <v>41</v>
      </c>
      <c r="B258" s="131">
        <v>1</v>
      </c>
    </row>
    <row r="259" spans="1:2" x14ac:dyDescent="0.25">
      <c r="A259" s="131" t="s">
        <v>10</v>
      </c>
      <c r="B259" s="131">
        <v>1</v>
      </c>
    </row>
    <row r="260" spans="1:2" x14ac:dyDescent="0.25">
      <c r="A260" s="131" t="s">
        <v>29</v>
      </c>
      <c r="B260" s="131">
        <v>1</v>
      </c>
    </row>
    <row r="261" spans="1:2" x14ac:dyDescent="0.25">
      <c r="A261" s="131" t="s">
        <v>10</v>
      </c>
      <c r="B261" s="131">
        <v>1</v>
      </c>
    </row>
    <row r="262" spans="1:2" x14ac:dyDescent="0.25">
      <c r="A262" s="131" t="s">
        <v>10</v>
      </c>
      <c r="B262" s="131">
        <v>1</v>
      </c>
    </row>
    <row r="263" spans="1:2" x14ac:dyDescent="0.25">
      <c r="A263" s="131" t="s">
        <v>10</v>
      </c>
      <c r="B263" s="131">
        <v>1</v>
      </c>
    </row>
    <row r="264" spans="1:2" x14ac:dyDescent="0.25">
      <c r="A264" s="131" t="s">
        <v>10</v>
      </c>
      <c r="B264" s="131">
        <v>1</v>
      </c>
    </row>
    <row r="265" spans="1:2" x14ac:dyDescent="0.25">
      <c r="A265" s="131" t="s">
        <v>74</v>
      </c>
      <c r="B265" s="131">
        <v>1</v>
      </c>
    </row>
    <row r="266" spans="1:2" x14ac:dyDescent="0.25">
      <c r="A266" s="131" t="s">
        <v>45</v>
      </c>
      <c r="B266" s="131">
        <v>1</v>
      </c>
    </row>
    <row r="267" spans="1:2" x14ac:dyDescent="0.25">
      <c r="A267" s="131" t="s">
        <v>41</v>
      </c>
      <c r="B267" s="131">
        <v>1</v>
      </c>
    </row>
    <row r="268" spans="1:2" x14ac:dyDescent="0.25">
      <c r="A268" s="131" t="s">
        <v>48</v>
      </c>
      <c r="B268" s="131">
        <v>1</v>
      </c>
    </row>
    <row r="269" spans="1:2" x14ac:dyDescent="0.25">
      <c r="A269" s="131" t="s">
        <v>74</v>
      </c>
      <c r="B269" s="131">
        <v>1</v>
      </c>
    </row>
    <row r="270" spans="1:2" x14ac:dyDescent="0.25">
      <c r="A270" s="131" t="s">
        <v>74</v>
      </c>
      <c r="B270" s="131">
        <v>1</v>
      </c>
    </row>
    <row r="271" spans="1:2" x14ac:dyDescent="0.25">
      <c r="A271" s="131" t="s">
        <v>74</v>
      </c>
      <c r="B271" s="131">
        <v>1</v>
      </c>
    </row>
    <row r="272" spans="1:2" x14ac:dyDescent="0.25">
      <c r="A272" s="131" t="s">
        <v>48</v>
      </c>
      <c r="B272" s="131">
        <v>1</v>
      </c>
    </row>
    <row r="273" spans="1:2" x14ac:dyDescent="0.25">
      <c r="A273" s="131" t="s">
        <v>74</v>
      </c>
      <c r="B273" s="131">
        <v>1</v>
      </c>
    </row>
    <row r="274" spans="1:2" x14ac:dyDescent="0.25">
      <c r="A274" s="131" t="s">
        <v>47</v>
      </c>
      <c r="B274" s="131">
        <v>1</v>
      </c>
    </row>
    <row r="275" spans="1:2" x14ac:dyDescent="0.25">
      <c r="A275" s="131" t="s">
        <v>58</v>
      </c>
      <c r="B275" s="131">
        <v>1</v>
      </c>
    </row>
    <row r="276" spans="1:2" x14ac:dyDescent="0.25">
      <c r="A276" s="131" t="s">
        <v>58</v>
      </c>
      <c r="B276" s="131">
        <v>1</v>
      </c>
    </row>
    <row r="277" spans="1:2" x14ac:dyDescent="0.25">
      <c r="A277" s="131" t="s">
        <v>10</v>
      </c>
      <c r="B277" s="131">
        <v>1</v>
      </c>
    </row>
    <row r="278" spans="1:2" x14ac:dyDescent="0.25">
      <c r="A278" s="131" t="s">
        <v>95</v>
      </c>
      <c r="B278" s="131">
        <v>1</v>
      </c>
    </row>
    <row r="279" spans="1:2" x14ac:dyDescent="0.25">
      <c r="A279" s="131" t="s">
        <v>60</v>
      </c>
      <c r="B279" s="131">
        <v>1</v>
      </c>
    </row>
    <row r="280" spans="1:2" x14ac:dyDescent="0.25">
      <c r="A280" s="131" t="s">
        <v>48</v>
      </c>
      <c r="B280" s="131">
        <v>1</v>
      </c>
    </row>
    <row r="281" spans="1:2" x14ac:dyDescent="0.25">
      <c r="A281" s="131" t="s">
        <v>10</v>
      </c>
      <c r="B281" s="131">
        <v>1</v>
      </c>
    </row>
    <row r="282" spans="1:2" x14ac:dyDescent="0.25">
      <c r="A282" s="131" t="s">
        <v>84</v>
      </c>
      <c r="B282" s="131">
        <v>1</v>
      </c>
    </row>
    <row r="283" spans="1:2" x14ac:dyDescent="0.25">
      <c r="A283" s="131" t="s">
        <v>84</v>
      </c>
      <c r="B283" s="131">
        <v>1</v>
      </c>
    </row>
    <row r="284" spans="1:2" x14ac:dyDescent="0.25">
      <c r="A284" s="131" t="s">
        <v>41</v>
      </c>
      <c r="B284" s="131">
        <v>1</v>
      </c>
    </row>
    <row r="285" spans="1:2" x14ac:dyDescent="0.25">
      <c r="A285" s="131" t="s">
        <v>45</v>
      </c>
      <c r="B285" s="131">
        <v>1</v>
      </c>
    </row>
    <row r="286" spans="1:2" x14ac:dyDescent="0.25">
      <c r="A286" s="131" t="s">
        <v>78</v>
      </c>
      <c r="B286" s="131">
        <v>1</v>
      </c>
    </row>
    <row r="287" spans="1:2" x14ac:dyDescent="0.25">
      <c r="A287" s="131" t="s">
        <v>46</v>
      </c>
      <c r="B287" s="131">
        <v>1</v>
      </c>
    </row>
    <row r="288" spans="1:2" x14ac:dyDescent="0.25">
      <c r="A288" s="131" t="s">
        <v>95</v>
      </c>
      <c r="B288" s="131">
        <v>1</v>
      </c>
    </row>
    <row r="289" spans="1:2" x14ac:dyDescent="0.25">
      <c r="A289" s="131" t="s">
        <v>53</v>
      </c>
      <c r="B289" s="131">
        <v>1</v>
      </c>
    </row>
    <row r="290" spans="1:2" x14ac:dyDescent="0.25">
      <c r="A290" s="131" t="s">
        <v>84</v>
      </c>
      <c r="B290" s="131">
        <v>1</v>
      </c>
    </row>
    <row r="291" spans="1:2" x14ac:dyDescent="0.25">
      <c r="A291" s="131" t="s">
        <v>84</v>
      </c>
      <c r="B291" s="131">
        <v>1</v>
      </c>
    </row>
    <row r="292" spans="1:2" x14ac:dyDescent="0.25">
      <c r="A292" s="131" t="s">
        <v>50</v>
      </c>
      <c r="B292" s="131">
        <v>1</v>
      </c>
    </row>
    <row r="293" spans="1:2" x14ac:dyDescent="0.25">
      <c r="A293" s="131" t="s">
        <v>60</v>
      </c>
      <c r="B293" s="131">
        <v>1</v>
      </c>
    </row>
    <row r="294" spans="1:2" x14ac:dyDescent="0.25">
      <c r="A294" s="131" t="s">
        <v>74</v>
      </c>
      <c r="B294" s="131">
        <v>1</v>
      </c>
    </row>
    <row r="295" spans="1:2" x14ac:dyDescent="0.25">
      <c r="A295" s="131" t="s">
        <v>41</v>
      </c>
      <c r="B295" s="131">
        <v>1</v>
      </c>
    </row>
    <row r="296" spans="1:2" x14ac:dyDescent="0.25">
      <c r="A296" s="131" t="s">
        <v>41</v>
      </c>
      <c r="B296" s="131">
        <v>1</v>
      </c>
    </row>
    <row r="297" spans="1:2" x14ac:dyDescent="0.25">
      <c r="A297" s="131" t="s">
        <v>10</v>
      </c>
      <c r="B297" s="131">
        <v>1</v>
      </c>
    </row>
    <row r="298" spans="1:2" x14ac:dyDescent="0.25">
      <c r="A298" s="131" t="s">
        <v>10</v>
      </c>
      <c r="B298" s="131">
        <v>1</v>
      </c>
    </row>
    <row r="299" spans="1:2" x14ac:dyDescent="0.25">
      <c r="A299" s="131" t="s">
        <v>91</v>
      </c>
      <c r="B299" s="131">
        <v>1</v>
      </c>
    </row>
    <row r="300" spans="1:2" x14ac:dyDescent="0.25">
      <c r="A300" s="131" t="s">
        <v>45</v>
      </c>
      <c r="B300" s="131">
        <v>1</v>
      </c>
    </row>
    <row r="301" spans="1:2" x14ac:dyDescent="0.25">
      <c r="A301" s="131" t="s">
        <v>41</v>
      </c>
      <c r="B301" s="131">
        <v>1</v>
      </c>
    </row>
    <row r="302" spans="1:2" x14ac:dyDescent="0.25">
      <c r="A302" s="131" t="s">
        <v>74</v>
      </c>
      <c r="B302" s="131">
        <v>1</v>
      </c>
    </row>
    <row r="303" spans="1:2" x14ac:dyDescent="0.25">
      <c r="A303" s="131" t="s">
        <v>91</v>
      </c>
      <c r="B303" s="131">
        <v>1</v>
      </c>
    </row>
    <row r="304" spans="1:2" x14ac:dyDescent="0.25">
      <c r="A304" s="131" t="s">
        <v>10</v>
      </c>
      <c r="B304" s="131">
        <v>1</v>
      </c>
    </row>
    <row r="305" spans="1:2" x14ac:dyDescent="0.25">
      <c r="A305" s="131" t="s">
        <v>43</v>
      </c>
      <c r="B305" s="131">
        <v>1</v>
      </c>
    </row>
    <row r="306" spans="1:2" x14ac:dyDescent="0.25">
      <c r="A306" s="131" t="s">
        <v>43</v>
      </c>
      <c r="B306" s="131">
        <v>1</v>
      </c>
    </row>
    <row r="307" spans="1:2" x14ac:dyDescent="0.25">
      <c r="A307" s="131" t="s">
        <v>43</v>
      </c>
      <c r="B307" s="131">
        <v>1</v>
      </c>
    </row>
    <row r="308" spans="1:2" x14ac:dyDescent="0.25">
      <c r="A308" s="131" t="s">
        <v>74</v>
      </c>
      <c r="B308" s="131">
        <v>1</v>
      </c>
    </row>
    <row r="309" spans="1:2" x14ac:dyDescent="0.25">
      <c r="A309" s="131" t="s">
        <v>95</v>
      </c>
      <c r="B309" s="131">
        <v>1</v>
      </c>
    </row>
    <row r="310" spans="1:2" x14ac:dyDescent="0.25">
      <c r="A310" s="131" t="s">
        <v>47</v>
      </c>
      <c r="B310" s="131">
        <v>1</v>
      </c>
    </row>
    <row r="311" spans="1:2" x14ac:dyDescent="0.25">
      <c r="A311" s="131" t="s">
        <v>47</v>
      </c>
      <c r="B311" s="131">
        <v>1</v>
      </c>
    </row>
    <row r="312" spans="1:2" x14ac:dyDescent="0.25">
      <c r="A312" s="131" t="s">
        <v>43</v>
      </c>
      <c r="B312" s="131">
        <v>1</v>
      </c>
    </row>
    <row r="313" spans="1:2" x14ac:dyDescent="0.25">
      <c r="A313" s="131" t="s">
        <v>93</v>
      </c>
      <c r="B313" s="131">
        <v>1</v>
      </c>
    </row>
    <row r="314" spans="1:2" x14ac:dyDescent="0.25">
      <c r="A314" s="131" t="s">
        <v>58</v>
      </c>
      <c r="B314" s="131">
        <v>1</v>
      </c>
    </row>
    <row r="315" spans="1:2" x14ac:dyDescent="0.25">
      <c r="A315" s="131" t="s">
        <v>43</v>
      </c>
      <c r="B315" s="131">
        <v>1</v>
      </c>
    </row>
    <row r="316" spans="1:2" x14ac:dyDescent="0.25">
      <c r="A316" s="131" t="s">
        <v>72</v>
      </c>
      <c r="B316" s="131">
        <v>1</v>
      </c>
    </row>
    <row r="317" spans="1:2" x14ac:dyDescent="0.25">
      <c r="A317" s="131" t="s">
        <v>67</v>
      </c>
      <c r="B317" s="131">
        <v>1</v>
      </c>
    </row>
    <row r="318" spans="1:2" x14ac:dyDescent="0.25">
      <c r="A318" s="131" t="s">
        <v>45</v>
      </c>
      <c r="B318" s="131">
        <v>1</v>
      </c>
    </row>
    <row r="319" spans="1:2" x14ac:dyDescent="0.25">
      <c r="A319" s="131" t="s">
        <v>45</v>
      </c>
      <c r="B319" s="131">
        <v>1</v>
      </c>
    </row>
    <row r="320" spans="1:2" x14ac:dyDescent="0.25">
      <c r="A320" s="131" t="s">
        <v>74</v>
      </c>
      <c r="B320" s="131">
        <v>1</v>
      </c>
    </row>
    <row r="321" spans="1:2" x14ac:dyDescent="0.25">
      <c r="A321" s="131" t="s">
        <v>47</v>
      </c>
      <c r="B321" s="131">
        <v>1</v>
      </c>
    </row>
    <row r="322" spans="1:2" x14ac:dyDescent="0.25">
      <c r="A322" s="131" t="s">
        <v>78</v>
      </c>
      <c r="B322" s="131">
        <v>1</v>
      </c>
    </row>
    <row r="323" spans="1:2" x14ac:dyDescent="0.25">
      <c r="A323" s="131" t="s">
        <v>62</v>
      </c>
      <c r="B323" s="131">
        <v>1</v>
      </c>
    </row>
    <row r="324" spans="1:2" x14ac:dyDescent="0.25">
      <c r="A324" s="131" t="s">
        <v>86</v>
      </c>
      <c r="B324" s="131">
        <v>1</v>
      </c>
    </row>
    <row r="325" spans="1:2" x14ac:dyDescent="0.25">
      <c r="A325" s="131" t="s">
        <v>93</v>
      </c>
      <c r="B325" s="131">
        <v>1</v>
      </c>
    </row>
    <row r="326" spans="1:2" x14ac:dyDescent="0.25">
      <c r="A326" s="131" t="s">
        <v>46</v>
      </c>
      <c r="B326" s="131">
        <v>1</v>
      </c>
    </row>
    <row r="327" spans="1:2" x14ac:dyDescent="0.25">
      <c r="A327" s="131" t="s">
        <v>89</v>
      </c>
      <c r="B327" s="131">
        <v>1</v>
      </c>
    </row>
    <row r="328" spans="1:2" x14ac:dyDescent="0.25">
      <c r="A328" s="131" t="s">
        <v>10</v>
      </c>
      <c r="B328" s="131">
        <v>1</v>
      </c>
    </row>
    <row r="329" spans="1:2" x14ac:dyDescent="0.25">
      <c r="A329" s="131" t="s">
        <v>76</v>
      </c>
      <c r="B329" s="131">
        <v>1</v>
      </c>
    </row>
    <row r="330" spans="1:2" x14ac:dyDescent="0.25">
      <c r="A330" s="131" t="s">
        <v>50</v>
      </c>
      <c r="B330" s="131">
        <v>1</v>
      </c>
    </row>
    <row r="331" spans="1:2" x14ac:dyDescent="0.25">
      <c r="A331" s="131" t="s">
        <v>93</v>
      </c>
      <c r="B331" s="131">
        <v>1</v>
      </c>
    </row>
    <row r="332" spans="1:2" x14ac:dyDescent="0.25">
      <c r="A332" s="131" t="s">
        <v>41</v>
      </c>
      <c r="B332" s="131">
        <v>1</v>
      </c>
    </row>
    <row r="333" spans="1:2" x14ac:dyDescent="0.25">
      <c r="A333" s="131" t="s">
        <v>76</v>
      </c>
      <c r="B333" s="131">
        <v>1</v>
      </c>
    </row>
    <row r="334" spans="1:2" x14ac:dyDescent="0.25">
      <c r="A334" s="131" t="s">
        <v>60</v>
      </c>
      <c r="B334" s="131">
        <v>1</v>
      </c>
    </row>
    <row r="335" spans="1:2" x14ac:dyDescent="0.25">
      <c r="A335" s="131" t="s">
        <v>71</v>
      </c>
      <c r="B335" s="131">
        <v>1</v>
      </c>
    </row>
    <row r="336" spans="1:2" x14ac:dyDescent="0.25">
      <c r="A336" s="131" t="s">
        <v>67</v>
      </c>
      <c r="B336" s="131">
        <v>1</v>
      </c>
    </row>
    <row r="337" spans="1:2" x14ac:dyDescent="0.25">
      <c r="A337" s="131" t="s">
        <v>46</v>
      </c>
      <c r="B337" s="131">
        <v>1</v>
      </c>
    </row>
    <row r="338" spans="1:2" x14ac:dyDescent="0.25">
      <c r="A338" s="131" t="s">
        <v>36</v>
      </c>
      <c r="B338" s="131">
        <v>1</v>
      </c>
    </row>
    <row r="339" spans="1:2" x14ac:dyDescent="0.25">
      <c r="A339" s="131" t="s">
        <v>64</v>
      </c>
      <c r="B339" s="131">
        <v>1</v>
      </c>
    </row>
    <row r="340" spans="1:2" x14ac:dyDescent="0.25">
      <c r="A340" s="131" t="s">
        <v>74</v>
      </c>
      <c r="B340" s="131">
        <v>1</v>
      </c>
    </row>
    <row r="341" spans="1:2" x14ac:dyDescent="0.25">
      <c r="A341" s="131" t="s">
        <v>60</v>
      </c>
      <c r="B341" s="131">
        <v>1</v>
      </c>
    </row>
    <row r="342" spans="1:2" x14ac:dyDescent="0.25">
      <c r="A342" s="131" t="s">
        <v>36</v>
      </c>
      <c r="B342" s="131">
        <v>1</v>
      </c>
    </row>
    <row r="343" spans="1:2" x14ac:dyDescent="0.25">
      <c r="A343" s="131" t="s">
        <v>76</v>
      </c>
      <c r="B343" s="131">
        <v>1</v>
      </c>
    </row>
    <row r="344" spans="1:2" x14ac:dyDescent="0.25">
      <c r="A344" s="131" t="s">
        <v>74</v>
      </c>
      <c r="B344" s="131">
        <v>1</v>
      </c>
    </row>
    <row r="345" spans="1:2" x14ac:dyDescent="0.25">
      <c r="A345" s="131" t="s">
        <v>45</v>
      </c>
      <c r="B345" s="131">
        <v>1</v>
      </c>
    </row>
    <row r="346" spans="1:2" x14ac:dyDescent="0.25">
      <c r="A346" s="131" t="s">
        <v>93</v>
      </c>
      <c r="B346" s="131">
        <v>1</v>
      </c>
    </row>
    <row r="347" spans="1:2" x14ac:dyDescent="0.25">
      <c r="A347" s="131" t="s">
        <v>47</v>
      </c>
      <c r="B347" s="131">
        <v>1</v>
      </c>
    </row>
    <row r="348" spans="1:2" x14ac:dyDescent="0.25">
      <c r="A348" s="131" t="s">
        <v>84</v>
      </c>
      <c r="B348" s="131">
        <v>1</v>
      </c>
    </row>
    <row r="349" spans="1:2" x14ac:dyDescent="0.25">
      <c r="A349" s="131" t="s">
        <v>62</v>
      </c>
      <c r="B349" s="131">
        <v>1</v>
      </c>
    </row>
    <row r="350" spans="1:2" x14ac:dyDescent="0.25">
      <c r="A350" s="131" t="s">
        <v>84</v>
      </c>
      <c r="B350" s="131">
        <v>1</v>
      </c>
    </row>
    <row r="351" spans="1:2" x14ac:dyDescent="0.25">
      <c r="A351" s="131" t="s">
        <v>41</v>
      </c>
      <c r="B351" s="131">
        <v>1</v>
      </c>
    </row>
    <row r="352" spans="1:2" x14ac:dyDescent="0.25">
      <c r="A352" s="131" t="s">
        <v>89</v>
      </c>
      <c r="B352" s="131">
        <v>1</v>
      </c>
    </row>
    <row r="353" spans="1:2" x14ac:dyDescent="0.25">
      <c r="A353" s="131" t="s">
        <v>58</v>
      </c>
      <c r="B353" s="131">
        <v>1</v>
      </c>
    </row>
    <row r="354" spans="1:2" x14ac:dyDescent="0.25">
      <c r="A354" s="131" t="s">
        <v>74</v>
      </c>
      <c r="B354" s="131">
        <v>1</v>
      </c>
    </row>
    <row r="355" spans="1:2" x14ac:dyDescent="0.25">
      <c r="A355" s="131" t="s">
        <v>60</v>
      </c>
      <c r="B355" s="131">
        <v>1</v>
      </c>
    </row>
    <row r="356" spans="1:2" x14ac:dyDescent="0.25">
      <c r="A356" s="131" t="s">
        <v>60</v>
      </c>
      <c r="B356" s="131">
        <v>1</v>
      </c>
    </row>
    <row r="357" spans="1:2" x14ac:dyDescent="0.25">
      <c r="A357" s="131" t="s">
        <v>41</v>
      </c>
      <c r="B357" s="131">
        <v>1</v>
      </c>
    </row>
    <row r="358" spans="1:2" x14ac:dyDescent="0.25">
      <c r="A358" s="131" t="s">
        <v>50</v>
      </c>
      <c r="B358" s="131">
        <v>1</v>
      </c>
    </row>
    <row r="359" spans="1:2" x14ac:dyDescent="0.25">
      <c r="A359" s="131" t="s">
        <v>10</v>
      </c>
      <c r="B359" s="131">
        <v>1</v>
      </c>
    </row>
    <row r="360" spans="1:2" x14ac:dyDescent="0.25">
      <c r="A360" s="131" t="s">
        <v>50</v>
      </c>
      <c r="B360" s="131">
        <v>1</v>
      </c>
    </row>
    <row r="361" spans="1:2" x14ac:dyDescent="0.25">
      <c r="A361" s="131" t="s">
        <v>60</v>
      </c>
      <c r="B361" s="131">
        <v>1</v>
      </c>
    </row>
    <row r="362" spans="1:2" x14ac:dyDescent="0.25">
      <c r="A362" s="131" t="s">
        <v>78</v>
      </c>
      <c r="B362" s="131">
        <v>1</v>
      </c>
    </row>
    <row r="363" spans="1:2" x14ac:dyDescent="0.25">
      <c r="A363" s="131" t="s">
        <v>53</v>
      </c>
      <c r="B363" s="131">
        <v>1</v>
      </c>
    </row>
    <row r="364" spans="1:2" x14ac:dyDescent="0.25">
      <c r="A364" s="131" t="s">
        <v>60</v>
      </c>
      <c r="B364" s="131">
        <v>1</v>
      </c>
    </row>
    <row r="365" spans="1:2" x14ac:dyDescent="0.25">
      <c r="A365" s="131" t="s">
        <v>33</v>
      </c>
      <c r="B365" s="131">
        <v>1</v>
      </c>
    </row>
    <row r="366" spans="1:2" x14ac:dyDescent="0.25">
      <c r="A366" s="131" t="s">
        <v>36</v>
      </c>
      <c r="B366" s="131">
        <v>1</v>
      </c>
    </row>
    <row r="367" spans="1:2" x14ac:dyDescent="0.25">
      <c r="A367" s="131" t="s">
        <v>46</v>
      </c>
      <c r="B367" s="131">
        <v>1</v>
      </c>
    </row>
    <row r="368" spans="1:2" x14ac:dyDescent="0.25">
      <c r="A368" s="131" t="s">
        <v>86</v>
      </c>
      <c r="B368" s="131">
        <v>1</v>
      </c>
    </row>
    <row r="369" spans="1:2" x14ac:dyDescent="0.25">
      <c r="A369" s="131" t="s">
        <v>50</v>
      </c>
      <c r="B369" s="131">
        <v>1</v>
      </c>
    </row>
    <row r="370" spans="1:2" x14ac:dyDescent="0.25">
      <c r="A370" s="131" t="s">
        <v>93</v>
      </c>
      <c r="B370" s="131">
        <v>1</v>
      </c>
    </row>
    <row r="371" spans="1:2" x14ac:dyDescent="0.25">
      <c r="A371" s="131" t="s">
        <v>10</v>
      </c>
      <c r="B371" s="131">
        <v>1</v>
      </c>
    </row>
    <row r="372" spans="1:2" x14ac:dyDescent="0.25">
      <c r="A372" s="131" t="s">
        <v>10</v>
      </c>
      <c r="B372" s="131">
        <v>1</v>
      </c>
    </row>
    <row r="373" spans="1:2" x14ac:dyDescent="0.25">
      <c r="A373" s="131" t="s">
        <v>48</v>
      </c>
      <c r="B373" s="131">
        <v>1</v>
      </c>
    </row>
    <row r="374" spans="1:2" x14ac:dyDescent="0.25">
      <c r="A374" s="131" t="s">
        <v>43</v>
      </c>
      <c r="B374" s="131">
        <v>1</v>
      </c>
    </row>
    <row r="375" spans="1:2" x14ac:dyDescent="0.25">
      <c r="A375" s="131" t="s">
        <v>74</v>
      </c>
      <c r="B375" s="131">
        <v>1</v>
      </c>
    </row>
    <row r="376" spans="1:2" x14ac:dyDescent="0.25">
      <c r="A376" s="131" t="s">
        <v>76</v>
      </c>
      <c r="B376" s="131">
        <v>1</v>
      </c>
    </row>
    <row r="377" spans="1:2" x14ac:dyDescent="0.25">
      <c r="A377" s="131" t="s">
        <v>62</v>
      </c>
      <c r="B377" s="131">
        <v>1</v>
      </c>
    </row>
    <row r="378" spans="1:2" x14ac:dyDescent="0.25">
      <c r="A378" s="131" t="s">
        <v>60</v>
      </c>
      <c r="B378" s="131">
        <v>1</v>
      </c>
    </row>
    <row r="379" spans="1:2" x14ac:dyDescent="0.25">
      <c r="A379" s="131" t="s">
        <v>58</v>
      </c>
      <c r="B379" s="131">
        <v>1</v>
      </c>
    </row>
    <row r="380" spans="1:2" x14ac:dyDescent="0.25">
      <c r="A380" s="131" t="s">
        <v>84</v>
      </c>
      <c r="B380" s="131">
        <v>1</v>
      </c>
    </row>
    <row r="381" spans="1:2" x14ac:dyDescent="0.25">
      <c r="A381" s="131" t="s">
        <v>84</v>
      </c>
      <c r="B381" s="131">
        <v>1</v>
      </c>
    </row>
    <row r="382" spans="1:2" x14ac:dyDescent="0.25">
      <c r="A382" s="131" t="s">
        <v>46</v>
      </c>
      <c r="B382" s="131">
        <v>1</v>
      </c>
    </row>
    <row r="383" spans="1:2" x14ac:dyDescent="0.25">
      <c r="A383" s="131" t="s">
        <v>10</v>
      </c>
      <c r="B383" s="131">
        <v>1</v>
      </c>
    </row>
    <row r="384" spans="1:2" x14ac:dyDescent="0.25">
      <c r="A384" s="131" t="s">
        <v>62</v>
      </c>
      <c r="B384" s="131">
        <v>1</v>
      </c>
    </row>
    <row r="385" spans="1:2" x14ac:dyDescent="0.25">
      <c r="A385" s="131" t="s">
        <v>43</v>
      </c>
      <c r="B385" s="131">
        <v>1</v>
      </c>
    </row>
    <row r="386" spans="1:2" x14ac:dyDescent="0.25">
      <c r="A386" s="131" t="s">
        <v>76</v>
      </c>
      <c r="B386" s="131">
        <v>1</v>
      </c>
    </row>
    <row r="387" spans="1:2" x14ac:dyDescent="0.25">
      <c r="A387" s="131" t="s">
        <v>43</v>
      </c>
      <c r="B387" s="131">
        <v>1</v>
      </c>
    </row>
    <row r="388" spans="1:2" x14ac:dyDescent="0.25">
      <c r="A388" s="131" t="s">
        <v>86</v>
      </c>
      <c r="B388" s="131">
        <v>1</v>
      </c>
    </row>
    <row r="389" spans="1:2" x14ac:dyDescent="0.25">
      <c r="A389" s="131" t="s">
        <v>43</v>
      </c>
      <c r="B389" s="131">
        <v>1</v>
      </c>
    </row>
    <row r="390" spans="1:2" x14ac:dyDescent="0.25">
      <c r="A390" s="131" t="s">
        <v>60</v>
      </c>
      <c r="B390" s="131">
        <v>1</v>
      </c>
    </row>
    <row r="391" spans="1:2" x14ac:dyDescent="0.25">
      <c r="A391" s="131" t="s">
        <v>76</v>
      </c>
      <c r="B391" s="131">
        <v>1</v>
      </c>
    </row>
    <row r="392" spans="1:2" x14ac:dyDescent="0.25">
      <c r="A392" s="131" t="s">
        <v>80</v>
      </c>
      <c r="B392" s="131">
        <v>1</v>
      </c>
    </row>
    <row r="393" spans="1:2" x14ac:dyDescent="0.25">
      <c r="A393" s="131" t="s">
        <v>80</v>
      </c>
      <c r="B393" s="131">
        <v>1</v>
      </c>
    </row>
    <row r="394" spans="1:2" x14ac:dyDescent="0.25">
      <c r="A394" s="131" t="s">
        <v>66</v>
      </c>
      <c r="B394" s="131">
        <v>1</v>
      </c>
    </row>
    <row r="395" spans="1:2" x14ac:dyDescent="0.25">
      <c r="A395" s="131" t="s">
        <v>66</v>
      </c>
      <c r="B395" s="131">
        <v>1</v>
      </c>
    </row>
    <row r="396" spans="1:2" x14ac:dyDescent="0.25">
      <c r="A396" s="131" t="s">
        <v>29</v>
      </c>
      <c r="B396" s="131">
        <v>1</v>
      </c>
    </row>
    <row r="397" spans="1:2" x14ac:dyDescent="0.25">
      <c r="A397" s="131" t="s">
        <v>43</v>
      </c>
      <c r="B397" s="131">
        <v>1</v>
      </c>
    </row>
    <row r="398" spans="1:2" x14ac:dyDescent="0.25">
      <c r="A398" s="131" t="s">
        <v>50</v>
      </c>
      <c r="B398" s="131">
        <v>1</v>
      </c>
    </row>
    <row r="399" spans="1:2" x14ac:dyDescent="0.25">
      <c r="A399" s="131" t="s">
        <v>50</v>
      </c>
      <c r="B399" s="131">
        <v>1</v>
      </c>
    </row>
    <row r="400" spans="1:2" x14ac:dyDescent="0.25">
      <c r="A400" s="131" t="s">
        <v>89</v>
      </c>
      <c r="B400" s="131">
        <v>1</v>
      </c>
    </row>
    <row r="401" spans="1:2" x14ac:dyDescent="0.25">
      <c r="A401" s="131" t="s">
        <v>74</v>
      </c>
      <c r="B401" s="131">
        <v>1</v>
      </c>
    </row>
    <row r="402" spans="1:2" x14ac:dyDescent="0.25">
      <c r="A402" s="131" t="s">
        <v>71</v>
      </c>
      <c r="B402" s="131">
        <v>1</v>
      </c>
    </row>
    <row r="403" spans="1:2" x14ac:dyDescent="0.25">
      <c r="A403" s="131" t="s">
        <v>53</v>
      </c>
      <c r="B403" s="131">
        <v>1</v>
      </c>
    </row>
    <row r="404" spans="1:2" x14ac:dyDescent="0.25">
      <c r="A404" s="131" t="s">
        <v>36</v>
      </c>
      <c r="B404" s="131">
        <v>1</v>
      </c>
    </row>
    <row r="405" spans="1:2" x14ac:dyDescent="0.25">
      <c r="A405" s="131" t="s">
        <v>43</v>
      </c>
      <c r="B405" s="131">
        <v>1</v>
      </c>
    </row>
    <row r="406" spans="1:2" x14ac:dyDescent="0.25">
      <c r="A406" s="131" t="s">
        <v>50</v>
      </c>
      <c r="B406" s="131">
        <v>1</v>
      </c>
    </row>
    <row r="407" spans="1:2" x14ac:dyDescent="0.25">
      <c r="A407" s="131" t="s">
        <v>50</v>
      </c>
      <c r="B407" s="131">
        <v>1</v>
      </c>
    </row>
    <row r="408" spans="1:2" x14ac:dyDescent="0.25">
      <c r="A408" s="131" t="s">
        <v>64</v>
      </c>
      <c r="B408" s="131">
        <v>1</v>
      </c>
    </row>
    <row r="409" spans="1:2" x14ac:dyDescent="0.25">
      <c r="A409" s="131" t="s">
        <v>78</v>
      </c>
      <c r="B409" s="131">
        <v>1</v>
      </c>
    </row>
    <row r="410" spans="1:2" x14ac:dyDescent="0.25">
      <c r="A410" s="131" t="s">
        <v>78</v>
      </c>
      <c r="B410" s="131">
        <v>1</v>
      </c>
    </row>
    <row r="411" spans="1:2" x14ac:dyDescent="0.25">
      <c r="A411" s="131" t="s">
        <v>66</v>
      </c>
      <c r="B411" s="131">
        <v>1</v>
      </c>
    </row>
    <row r="412" spans="1:2" x14ac:dyDescent="0.25">
      <c r="A412" s="131" t="s">
        <v>74</v>
      </c>
      <c r="B412" s="131">
        <v>1</v>
      </c>
    </row>
    <row r="413" spans="1:2" x14ac:dyDescent="0.25">
      <c r="A413" s="131" t="s">
        <v>46</v>
      </c>
      <c r="B413" s="131">
        <v>1</v>
      </c>
    </row>
    <row r="414" spans="1:2" x14ac:dyDescent="0.25">
      <c r="A414" s="131" t="s">
        <v>53</v>
      </c>
      <c r="B414" s="131">
        <v>1</v>
      </c>
    </row>
    <row r="415" spans="1:2" x14ac:dyDescent="0.25">
      <c r="A415" s="131" t="s">
        <v>43</v>
      </c>
      <c r="B415" s="131">
        <v>1</v>
      </c>
    </row>
    <row r="416" spans="1:2" x14ac:dyDescent="0.25">
      <c r="A416" s="131" t="s">
        <v>68</v>
      </c>
      <c r="B416" s="131">
        <v>1</v>
      </c>
    </row>
    <row r="417" spans="1:2" x14ac:dyDescent="0.25">
      <c r="A417" s="131" t="s">
        <v>33</v>
      </c>
      <c r="B417" s="131">
        <v>1</v>
      </c>
    </row>
    <row r="418" spans="1:2" x14ac:dyDescent="0.25">
      <c r="A418" s="131" t="s">
        <v>41</v>
      </c>
      <c r="B418" s="131">
        <v>1</v>
      </c>
    </row>
    <row r="419" spans="1:2" x14ac:dyDescent="0.25">
      <c r="A419" s="131" t="s">
        <v>10</v>
      </c>
      <c r="B419" s="131">
        <v>1</v>
      </c>
    </row>
    <row r="420" spans="1:2" x14ac:dyDescent="0.25">
      <c r="A420" s="131" t="s">
        <v>48</v>
      </c>
      <c r="B420" s="131">
        <v>1</v>
      </c>
    </row>
    <row r="421" spans="1:2" x14ac:dyDescent="0.25">
      <c r="A421" s="131" t="s">
        <v>48</v>
      </c>
      <c r="B421" s="131">
        <v>1</v>
      </c>
    </row>
    <row r="422" spans="1:2" x14ac:dyDescent="0.25">
      <c r="A422" s="131" t="s">
        <v>74</v>
      </c>
      <c r="B422" s="131">
        <v>1</v>
      </c>
    </row>
    <row r="423" spans="1:2" x14ac:dyDescent="0.25">
      <c r="A423" s="131" t="s">
        <v>74</v>
      </c>
      <c r="B423" s="131">
        <v>1</v>
      </c>
    </row>
    <row r="424" spans="1:2" x14ac:dyDescent="0.25">
      <c r="A424" s="131" t="s">
        <v>43</v>
      </c>
      <c r="B424" s="131">
        <v>1</v>
      </c>
    </row>
    <row r="425" spans="1:2" x14ac:dyDescent="0.25">
      <c r="A425" s="131" t="s">
        <v>74</v>
      </c>
      <c r="B425" s="131">
        <v>1</v>
      </c>
    </row>
    <row r="426" spans="1:2" x14ac:dyDescent="0.25">
      <c r="A426" s="131" t="s">
        <v>10</v>
      </c>
      <c r="B426" s="131">
        <v>1</v>
      </c>
    </row>
    <row r="427" spans="1:2" x14ac:dyDescent="0.25">
      <c r="A427" s="131" t="s">
        <v>74</v>
      </c>
      <c r="B427" s="131">
        <v>1</v>
      </c>
    </row>
    <row r="428" spans="1:2" x14ac:dyDescent="0.25">
      <c r="A428" s="131" t="s">
        <v>62</v>
      </c>
      <c r="B428" s="131">
        <v>1</v>
      </c>
    </row>
    <row r="429" spans="1:2" x14ac:dyDescent="0.25">
      <c r="A429" s="131" t="s">
        <v>41</v>
      </c>
      <c r="B429" s="131">
        <v>1</v>
      </c>
    </row>
    <row r="430" spans="1:2" x14ac:dyDescent="0.25">
      <c r="A430" s="131" t="s">
        <v>74</v>
      </c>
      <c r="B430" s="131">
        <v>1</v>
      </c>
    </row>
    <row r="431" spans="1:2" x14ac:dyDescent="0.25">
      <c r="A431" s="131" t="s">
        <v>47</v>
      </c>
      <c r="B431" s="131">
        <v>1</v>
      </c>
    </row>
    <row r="432" spans="1:2" x14ac:dyDescent="0.25">
      <c r="A432" s="131" t="s">
        <v>33</v>
      </c>
      <c r="B432" s="131">
        <v>1</v>
      </c>
    </row>
    <row r="433" spans="1:2" x14ac:dyDescent="0.25">
      <c r="A433" s="131" t="s">
        <v>58</v>
      </c>
      <c r="B433" s="131">
        <v>1</v>
      </c>
    </row>
    <row r="434" spans="1:2" x14ac:dyDescent="0.25">
      <c r="A434" s="131" t="s">
        <v>43</v>
      </c>
      <c r="B434" s="131">
        <v>1</v>
      </c>
    </row>
    <row r="435" spans="1:2" x14ac:dyDescent="0.25">
      <c r="A435" s="131" t="s">
        <v>43</v>
      </c>
      <c r="B435" s="131">
        <v>1</v>
      </c>
    </row>
    <row r="436" spans="1:2" x14ac:dyDescent="0.25">
      <c r="A436" s="131" t="s">
        <v>33</v>
      </c>
      <c r="B436" s="131">
        <v>1</v>
      </c>
    </row>
    <row r="437" spans="1:2" x14ac:dyDescent="0.25">
      <c r="A437" s="131" t="s">
        <v>89</v>
      </c>
      <c r="B437" s="131">
        <v>1</v>
      </c>
    </row>
    <row r="438" spans="1:2" x14ac:dyDescent="0.25">
      <c r="A438" s="131" t="s">
        <v>93</v>
      </c>
      <c r="B438" s="131">
        <v>1</v>
      </c>
    </row>
    <row r="439" spans="1:2" x14ac:dyDescent="0.25">
      <c r="A439" s="131" t="s">
        <v>87</v>
      </c>
      <c r="B439" s="131">
        <v>1</v>
      </c>
    </row>
    <row r="440" spans="1:2" x14ac:dyDescent="0.25">
      <c r="A440" s="131" t="s">
        <v>10</v>
      </c>
      <c r="B440" s="131">
        <v>1</v>
      </c>
    </row>
    <row r="441" spans="1:2" x14ac:dyDescent="0.25">
      <c r="A441" s="131" t="s">
        <v>36</v>
      </c>
      <c r="B441" s="131">
        <v>1</v>
      </c>
    </row>
    <row r="442" spans="1:2" x14ac:dyDescent="0.25">
      <c r="A442" s="131" t="s">
        <v>10</v>
      </c>
      <c r="B442" s="131">
        <v>1</v>
      </c>
    </row>
    <row r="443" spans="1:2" x14ac:dyDescent="0.25">
      <c r="A443" s="131" t="s">
        <v>64</v>
      </c>
      <c r="B443" s="131">
        <v>1</v>
      </c>
    </row>
    <row r="444" spans="1:2" x14ac:dyDescent="0.25">
      <c r="A444" s="131" t="s">
        <v>60</v>
      </c>
      <c r="B444" s="131">
        <v>1</v>
      </c>
    </row>
    <row r="445" spans="1:2" x14ac:dyDescent="0.25">
      <c r="A445" s="131" t="s">
        <v>76</v>
      </c>
      <c r="B445" s="131">
        <v>1</v>
      </c>
    </row>
    <row r="446" spans="1:2" x14ac:dyDescent="0.25">
      <c r="A446" s="131" t="s">
        <v>10</v>
      </c>
      <c r="B446" s="131">
        <v>1</v>
      </c>
    </row>
    <row r="447" spans="1:2" x14ac:dyDescent="0.25">
      <c r="A447" s="131" t="s">
        <v>10</v>
      </c>
      <c r="B447" s="131">
        <v>1</v>
      </c>
    </row>
    <row r="448" spans="1:2" x14ac:dyDescent="0.25">
      <c r="A448" s="131" t="s">
        <v>10</v>
      </c>
      <c r="B448" s="131">
        <v>3</v>
      </c>
    </row>
    <row r="449" spans="1:2" x14ac:dyDescent="0.25">
      <c r="A449" s="131" t="s">
        <v>84</v>
      </c>
      <c r="B449" s="131">
        <v>1</v>
      </c>
    </row>
    <row r="450" spans="1:2" x14ac:dyDescent="0.25">
      <c r="A450" s="131" t="s">
        <v>10</v>
      </c>
      <c r="B450" s="131">
        <v>1</v>
      </c>
    </row>
    <row r="451" spans="1:2" x14ac:dyDescent="0.25">
      <c r="A451" s="131" t="s">
        <v>86</v>
      </c>
      <c r="B451" s="131">
        <v>-1</v>
      </c>
    </row>
    <row r="452" spans="1:2" x14ac:dyDescent="0.25">
      <c r="A452" s="131" t="s">
        <v>47</v>
      </c>
    </row>
    <row r="453" spans="1:2" x14ac:dyDescent="0.25">
      <c r="A453" s="131" t="s">
        <v>74</v>
      </c>
      <c r="B453" s="131">
        <v>1</v>
      </c>
    </row>
    <row r="454" spans="1:2" x14ac:dyDescent="0.25">
      <c r="A454" s="131" t="s">
        <v>62</v>
      </c>
      <c r="B454" s="131">
        <v>1</v>
      </c>
    </row>
    <row r="455" spans="1:2" x14ac:dyDescent="0.25">
      <c r="A455" s="131" t="s">
        <v>47</v>
      </c>
      <c r="B455" s="131">
        <v>1</v>
      </c>
    </row>
    <row r="456" spans="1:2" x14ac:dyDescent="0.25">
      <c r="A456" s="131" t="s">
        <v>48</v>
      </c>
      <c r="B456" s="131">
        <v>1</v>
      </c>
    </row>
    <row r="457" spans="1:2" x14ac:dyDescent="0.25">
      <c r="A457" s="131" t="s">
        <v>89</v>
      </c>
      <c r="B457" s="131">
        <v>2</v>
      </c>
    </row>
    <row r="458" spans="1:2" x14ac:dyDescent="0.25">
      <c r="A458" s="131" t="s">
        <v>60</v>
      </c>
      <c r="B458" s="131">
        <v>1</v>
      </c>
    </row>
    <row r="459" spans="1:2" x14ac:dyDescent="0.25">
      <c r="A459" s="131" t="s">
        <v>91</v>
      </c>
      <c r="B459" s="131">
        <v>1</v>
      </c>
    </row>
    <row r="460" spans="1:2" x14ac:dyDescent="0.25">
      <c r="A460" s="131" t="s">
        <v>84</v>
      </c>
      <c r="B460" s="131">
        <v>1</v>
      </c>
    </row>
    <row r="461" spans="1:2" x14ac:dyDescent="0.25">
      <c r="A461" s="131" t="s">
        <v>43</v>
      </c>
      <c r="B461" s="131">
        <v>1</v>
      </c>
    </row>
    <row r="462" spans="1:2" x14ac:dyDescent="0.25">
      <c r="A462" s="131" t="s">
        <v>86</v>
      </c>
      <c r="B462" s="131">
        <v>-1</v>
      </c>
    </row>
    <row r="463" spans="1:2" x14ac:dyDescent="0.25">
      <c r="A463" s="131" t="s">
        <v>86</v>
      </c>
      <c r="B463" s="131">
        <v>-1</v>
      </c>
    </row>
    <row r="464" spans="1:2" x14ac:dyDescent="0.25">
      <c r="A464" s="131" t="s">
        <v>43</v>
      </c>
      <c r="B464" s="131">
        <v>1</v>
      </c>
    </row>
    <row r="465" spans="1:2" x14ac:dyDescent="0.25">
      <c r="A465" s="131" t="s">
        <v>43</v>
      </c>
      <c r="B465" s="131">
        <v>1</v>
      </c>
    </row>
    <row r="466" spans="1:2" x14ac:dyDescent="0.25">
      <c r="A466" s="131" t="s">
        <v>86</v>
      </c>
      <c r="B466" s="131">
        <v>1</v>
      </c>
    </row>
    <row r="467" spans="1:2" x14ac:dyDescent="0.25">
      <c r="A467" s="131" t="s">
        <v>36</v>
      </c>
      <c r="B467" s="131">
        <v>1</v>
      </c>
    </row>
    <row r="468" spans="1:2" x14ac:dyDescent="0.25">
      <c r="A468" s="131" t="s">
        <v>74</v>
      </c>
      <c r="B468" s="131">
        <v>1</v>
      </c>
    </row>
    <row r="469" spans="1:2" x14ac:dyDescent="0.25">
      <c r="A469" s="131" t="s">
        <v>78</v>
      </c>
      <c r="B469" s="131">
        <v>1</v>
      </c>
    </row>
    <row r="470" spans="1:2" x14ac:dyDescent="0.25">
      <c r="A470" s="131" t="s">
        <v>89</v>
      </c>
      <c r="B470" s="131">
        <v>1</v>
      </c>
    </row>
    <row r="471" spans="1:2" x14ac:dyDescent="0.25">
      <c r="A471" s="131" t="s">
        <v>84</v>
      </c>
      <c r="B471" s="131">
        <v>1</v>
      </c>
    </row>
    <row r="472" spans="1:2" x14ac:dyDescent="0.25">
      <c r="A472" s="131" t="s">
        <v>41</v>
      </c>
      <c r="B472" s="131">
        <v>1</v>
      </c>
    </row>
    <row r="473" spans="1:2" x14ac:dyDescent="0.25">
      <c r="A473" s="131" t="s">
        <v>10</v>
      </c>
      <c r="B473" s="131">
        <v>1</v>
      </c>
    </row>
    <row r="474" spans="1:2" x14ac:dyDescent="0.25">
      <c r="A474" s="131" t="s">
        <v>74</v>
      </c>
      <c r="B474" s="131">
        <v>1</v>
      </c>
    </row>
    <row r="475" spans="1:2" x14ac:dyDescent="0.25">
      <c r="A475" s="131" t="s">
        <v>84</v>
      </c>
      <c r="B475" s="131">
        <v>1</v>
      </c>
    </row>
    <row r="476" spans="1:2" x14ac:dyDescent="0.25">
      <c r="A476" s="131" t="s">
        <v>41</v>
      </c>
      <c r="B476" s="131">
        <v>1</v>
      </c>
    </row>
    <row r="477" spans="1:2" x14ac:dyDescent="0.25">
      <c r="A477" s="131" t="s">
        <v>86</v>
      </c>
      <c r="B477" s="131">
        <v>-1</v>
      </c>
    </row>
    <row r="478" spans="1:2" x14ac:dyDescent="0.25">
      <c r="A478" s="131" t="s">
        <v>58</v>
      </c>
      <c r="B478" s="131">
        <v>1</v>
      </c>
    </row>
    <row r="479" spans="1:2" x14ac:dyDescent="0.25">
      <c r="A479" s="131" t="s">
        <v>10</v>
      </c>
      <c r="B479" s="131">
        <v>1</v>
      </c>
    </row>
    <row r="480" spans="1:2" x14ac:dyDescent="0.25">
      <c r="A480" s="131" t="s">
        <v>74</v>
      </c>
      <c r="B480" s="131">
        <v>1</v>
      </c>
    </row>
    <row r="481" spans="1:2" x14ac:dyDescent="0.25">
      <c r="A481" s="131" t="s">
        <v>41</v>
      </c>
      <c r="B481" s="131">
        <v>1</v>
      </c>
    </row>
    <row r="482" spans="1:2" x14ac:dyDescent="0.25">
      <c r="A482" s="131" t="s">
        <v>41</v>
      </c>
      <c r="B482" s="131">
        <v>1</v>
      </c>
    </row>
    <row r="483" spans="1:2" x14ac:dyDescent="0.25">
      <c r="A483" s="131" t="s">
        <v>86</v>
      </c>
      <c r="B483" s="131">
        <v>-1</v>
      </c>
    </row>
    <row r="484" spans="1:2" x14ac:dyDescent="0.25">
      <c r="A484" s="131" t="s">
        <v>86</v>
      </c>
      <c r="B484" s="131">
        <v>-1</v>
      </c>
    </row>
    <row r="485" spans="1:2" x14ac:dyDescent="0.25">
      <c r="A485" s="131" t="s">
        <v>41</v>
      </c>
      <c r="B485" s="131">
        <v>1</v>
      </c>
    </row>
    <row r="486" spans="1:2" x14ac:dyDescent="0.25">
      <c r="A486" s="131" t="s">
        <v>76</v>
      </c>
      <c r="B486" s="131">
        <v>1</v>
      </c>
    </row>
    <row r="487" spans="1:2" x14ac:dyDescent="0.25">
      <c r="A487" s="131" t="s">
        <v>10</v>
      </c>
      <c r="B487" s="131">
        <v>1</v>
      </c>
    </row>
    <row r="488" spans="1:2" x14ac:dyDescent="0.25">
      <c r="A488" s="131" t="s">
        <v>10</v>
      </c>
      <c r="B488" s="131">
        <v>1</v>
      </c>
    </row>
    <row r="489" spans="1:2" x14ac:dyDescent="0.25">
      <c r="A489" s="131" t="s">
        <v>50</v>
      </c>
      <c r="B489" s="131">
        <v>1</v>
      </c>
    </row>
    <row r="490" spans="1:2" x14ac:dyDescent="0.25">
      <c r="A490" s="131" t="s">
        <v>43</v>
      </c>
      <c r="B490" s="131">
        <v>1</v>
      </c>
    </row>
    <row r="491" spans="1:2" x14ac:dyDescent="0.25">
      <c r="A491" s="131" t="s">
        <v>48</v>
      </c>
      <c r="B491" s="131">
        <v>1</v>
      </c>
    </row>
    <row r="492" spans="1:2" x14ac:dyDescent="0.25">
      <c r="A492" s="131" t="s">
        <v>93</v>
      </c>
      <c r="B492" s="131">
        <v>1</v>
      </c>
    </row>
    <row r="493" spans="1:2" x14ac:dyDescent="0.25">
      <c r="A493" s="131" t="s">
        <v>10</v>
      </c>
      <c r="B493" s="131">
        <v>1</v>
      </c>
    </row>
    <row r="494" spans="1:2" x14ac:dyDescent="0.25">
      <c r="A494" s="131" t="s">
        <v>10</v>
      </c>
      <c r="B494" s="131">
        <v>1</v>
      </c>
    </row>
    <row r="495" spans="1:2" x14ac:dyDescent="0.25">
      <c r="A495" s="131" t="s">
        <v>48</v>
      </c>
      <c r="B495" s="131">
        <v>1</v>
      </c>
    </row>
    <row r="496" spans="1:2" x14ac:dyDescent="0.25">
      <c r="A496" s="131" t="s">
        <v>84</v>
      </c>
      <c r="B496" s="131">
        <v>1</v>
      </c>
    </row>
    <row r="497" spans="1:2" x14ac:dyDescent="0.25">
      <c r="A497" s="131" t="s">
        <v>43</v>
      </c>
      <c r="B497" s="131">
        <v>1</v>
      </c>
    </row>
    <row r="498" spans="1:2" x14ac:dyDescent="0.25">
      <c r="A498" s="131" t="s">
        <v>74</v>
      </c>
      <c r="B498" s="131">
        <v>1</v>
      </c>
    </row>
    <row r="499" spans="1:2" x14ac:dyDescent="0.25">
      <c r="A499" s="131" t="s">
        <v>10</v>
      </c>
      <c r="B499" s="131">
        <v>1</v>
      </c>
    </row>
    <row r="500" spans="1:2" x14ac:dyDescent="0.25">
      <c r="A500" s="131" t="s">
        <v>10</v>
      </c>
      <c r="B500" s="131">
        <v>1</v>
      </c>
    </row>
    <row r="501" spans="1:2" x14ac:dyDescent="0.25">
      <c r="A501" s="131" t="s">
        <v>95</v>
      </c>
      <c r="B501" s="131">
        <v>1</v>
      </c>
    </row>
    <row r="502" spans="1:2" x14ac:dyDescent="0.25">
      <c r="A502" s="131" t="s">
        <v>95</v>
      </c>
      <c r="B502" s="131">
        <v>1</v>
      </c>
    </row>
    <row r="503" spans="1:2" x14ac:dyDescent="0.25">
      <c r="A503" s="131" t="s">
        <v>10</v>
      </c>
      <c r="B503" s="131">
        <v>1</v>
      </c>
    </row>
    <row r="504" spans="1:2" x14ac:dyDescent="0.25">
      <c r="A504" s="131" t="s">
        <v>10</v>
      </c>
      <c r="B504" s="131">
        <v>1</v>
      </c>
    </row>
    <row r="505" spans="1:2" x14ac:dyDescent="0.25">
      <c r="A505" s="131" t="s">
        <v>43</v>
      </c>
      <c r="B505" s="131">
        <v>1</v>
      </c>
    </row>
    <row r="506" spans="1:2" x14ac:dyDescent="0.25">
      <c r="A506" s="131" t="s">
        <v>10</v>
      </c>
      <c r="B506" s="131">
        <v>1</v>
      </c>
    </row>
    <row r="507" spans="1:2" x14ac:dyDescent="0.25">
      <c r="A507" s="131" t="s">
        <v>58</v>
      </c>
      <c r="B507" s="131">
        <v>1</v>
      </c>
    </row>
    <row r="508" spans="1:2" x14ac:dyDescent="0.25">
      <c r="A508" s="131" t="s">
        <v>58</v>
      </c>
      <c r="B508" s="131">
        <v>1</v>
      </c>
    </row>
    <row r="509" spans="1:2" x14ac:dyDescent="0.25">
      <c r="A509" s="131" t="s">
        <v>55</v>
      </c>
      <c r="B509" s="131">
        <v>1</v>
      </c>
    </row>
    <row r="510" spans="1:2" x14ac:dyDescent="0.25">
      <c r="A510" s="131" t="s">
        <v>45</v>
      </c>
      <c r="B510" s="131">
        <v>1</v>
      </c>
    </row>
    <row r="511" spans="1:2" x14ac:dyDescent="0.25">
      <c r="A511" s="131" t="s">
        <v>68</v>
      </c>
      <c r="B511" s="131">
        <v>1</v>
      </c>
    </row>
    <row r="512" spans="1:2" x14ac:dyDescent="0.25">
      <c r="A512" s="131" t="s">
        <v>10</v>
      </c>
      <c r="B512" s="131">
        <v>1</v>
      </c>
    </row>
    <row r="513" spans="1:2" x14ac:dyDescent="0.25">
      <c r="A513" s="131" t="s">
        <v>74</v>
      </c>
      <c r="B513" s="131">
        <v>1</v>
      </c>
    </row>
    <row r="514" spans="1:2" x14ac:dyDescent="0.25">
      <c r="A514" s="131" t="s">
        <v>50</v>
      </c>
      <c r="B514" s="131">
        <v>1</v>
      </c>
    </row>
    <row r="515" spans="1:2" x14ac:dyDescent="0.25">
      <c r="A515" s="131" t="s">
        <v>76</v>
      </c>
      <c r="B515" s="131">
        <v>1</v>
      </c>
    </row>
    <row r="516" spans="1:2" x14ac:dyDescent="0.25">
      <c r="A516" s="131" t="s">
        <v>48</v>
      </c>
      <c r="B516" s="131">
        <v>1</v>
      </c>
    </row>
    <row r="517" spans="1:2" x14ac:dyDescent="0.25">
      <c r="A517" s="131" t="s">
        <v>55</v>
      </c>
      <c r="B517" s="131">
        <v>1</v>
      </c>
    </row>
    <row r="518" spans="1:2" x14ac:dyDescent="0.25">
      <c r="A518" s="131" t="s">
        <v>55</v>
      </c>
      <c r="B518" s="131">
        <v>1</v>
      </c>
    </row>
    <row r="519" spans="1:2" x14ac:dyDescent="0.25">
      <c r="A519" s="131" t="s">
        <v>74</v>
      </c>
      <c r="B519" s="131">
        <v>1</v>
      </c>
    </row>
    <row r="520" spans="1:2" x14ac:dyDescent="0.25">
      <c r="A520" s="131" t="s">
        <v>76</v>
      </c>
      <c r="B520" s="131">
        <v>1</v>
      </c>
    </row>
    <row r="521" spans="1:2" x14ac:dyDescent="0.25">
      <c r="A521" s="131" t="s">
        <v>50</v>
      </c>
      <c r="B521" s="131">
        <v>1</v>
      </c>
    </row>
    <row r="522" spans="1:2" x14ac:dyDescent="0.25">
      <c r="A522" s="131" t="s">
        <v>36</v>
      </c>
      <c r="B522" s="131">
        <v>1</v>
      </c>
    </row>
    <row r="523" spans="1:2" x14ac:dyDescent="0.25">
      <c r="A523" s="131" t="s">
        <v>74</v>
      </c>
      <c r="B523" s="131">
        <v>1</v>
      </c>
    </row>
    <row r="524" spans="1:2" x14ac:dyDescent="0.25">
      <c r="A524" s="131" t="s">
        <v>74</v>
      </c>
      <c r="B524" s="131">
        <v>1</v>
      </c>
    </row>
    <row r="525" spans="1:2" x14ac:dyDescent="0.25">
      <c r="A525" s="131" t="s">
        <v>60</v>
      </c>
      <c r="B525" s="131">
        <v>1</v>
      </c>
    </row>
    <row r="526" spans="1:2" x14ac:dyDescent="0.25">
      <c r="A526" s="131" t="s">
        <v>64</v>
      </c>
      <c r="B526" s="131">
        <v>1</v>
      </c>
    </row>
    <row r="527" spans="1:2" x14ac:dyDescent="0.25">
      <c r="A527" s="131" t="s">
        <v>93</v>
      </c>
      <c r="B527" s="131">
        <v>1</v>
      </c>
    </row>
    <row r="528" spans="1:2" x14ac:dyDescent="0.25">
      <c r="A528" s="131" t="s">
        <v>89</v>
      </c>
      <c r="B528" s="131">
        <v>1</v>
      </c>
    </row>
    <row r="529" spans="1:2" x14ac:dyDescent="0.25">
      <c r="A529" s="131" t="s">
        <v>84</v>
      </c>
      <c r="B529" s="131">
        <v>1</v>
      </c>
    </row>
    <row r="530" spans="1:2" x14ac:dyDescent="0.25">
      <c r="A530" s="131" t="s">
        <v>47</v>
      </c>
      <c r="B530" s="131">
        <v>1</v>
      </c>
    </row>
    <row r="531" spans="1:2" x14ac:dyDescent="0.25">
      <c r="A531" s="131" t="s">
        <v>47</v>
      </c>
      <c r="B531" s="131">
        <v>1</v>
      </c>
    </row>
    <row r="532" spans="1:2" x14ac:dyDescent="0.25">
      <c r="A532" s="131" t="s">
        <v>84</v>
      </c>
      <c r="B532" s="131">
        <v>1</v>
      </c>
    </row>
    <row r="533" spans="1:2" x14ac:dyDescent="0.25">
      <c r="A533" s="131" t="s">
        <v>41</v>
      </c>
      <c r="B533" s="131">
        <v>1</v>
      </c>
    </row>
    <row r="534" spans="1:2" x14ac:dyDescent="0.25">
      <c r="A534" s="131" t="s">
        <v>89</v>
      </c>
      <c r="B534" s="131">
        <v>1</v>
      </c>
    </row>
    <row r="535" spans="1:2" x14ac:dyDescent="0.25">
      <c r="A535" s="131" t="s">
        <v>41</v>
      </c>
      <c r="B535" s="131">
        <v>1</v>
      </c>
    </row>
    <row r="536" spans="1:2" x14ac:dyDescent="0.25">
      <c r="A536" s="131" t="s">
        <v>74</v>
      </c>
      <c r="B536" s="131">
        <v>1</v>
      </c>
    </row>
    <row r="537" spans="1:2" x14ac:dyDescent="0.25">
      <c r="A537" s="131" t="s">
        <v>50</v>
      </c>
      <c r="B537" s="131">
        <v>1</v>
      </c>
    </row>
    <row r="538" spans="1:2" x14ac:dyDescent="0.25">
      <c r="A538" s="131" t="s">
        <v>66</v>
      </c>
      <c r="B538" s="131">
        <v>1</v>
      </c>
    </row>
    <row r="539" spans="1:2" x14ac:dyDescent="0.25">
      <c r="A539" s="131" t="s">
        <v>74</v>
      </c>
      <c r="B539" s="131">
        <v>1</v>
      </c>
    </row>
    <row r="540" spans="1:2" x14ac:dyDescent="0.25">
      <c r="A540" s="131" t="s">
        <v>43</v>
      </c>
      <c r="B540" s="131">
        <v>1</v>
      </c>
    </row>
    <row r="541" spans="1:2" x14ac:dyDescent="0.25">
      <c r="A541" s="131" t="s">
        <v>84</v>
      </c>
      <c r="B541" s="131">
        <v>1</v>
      </c>
    </row>
    <row r="542" spans="1:2" x14ac:dyDescent="0.25">
      <c r="A542" s="131" t="s">
        <v>64</v>
      </c>
      <c r="B542" s="131">
        <v>1</v>
      </c>
    </row>
    <row r="543" spans="1:2" x14ac:dyDescent="0.25">
      <c r="A543" s="131" t="s">
        <v>84</v>
      </c>
      <c r="B543" s="131">
        <v>1</v>
      </c>
    </row>
    <row r="544" spans="1:2" x14ac:dyDescent="0.25">
      <c r="A544" s="131" t="s">
        <v>10</v>
      </c>
      <c r="B544" s="131">
        <v>5</v>
      </c>
    </row>
    <row r="545" spans="1:2" x14ac:dyDescent="0.25">
      <c r="A545" s="131" t="s">
        <v>50</v>
      </c>
      <c r="B545" s="131">
        <v>1</v>
      </c>
    </row>
    <row r="546" spans="1:2" x14ac:dyDescent="0.25">
      <c r="A546" s="131" t="s">
        <v>10</v>
      </c>
      <c r="B546" s="131">
        <v>1</v>
      </c>
    </row>
    <row r="547" spans="1:2" x14ac:dyDescent="0.25">
      <c r="A547" s="131" t="s">
        <v>84</v>
      </c>
      <c r="B547" s="131">
        <v>1</v>
      </c>
    </row>
    <row r="548" spans="1:2" x14ac:dyDescent="0.25">
      <c r="A548" s="131" t="s">
        <v>60</v>
      </c>
      <c r="B548" s="131">
        <v>1</v>
      </c>
    </row>
    <row r="549" spans="1:2" x14ac:dyDescent="0.25">
      <c r="A549" s="131" t="s">
        <v>50</v>
      </c>
      <c r="B549" s="131">
        <v>1</v>
      </c>
    </row>
    <row r="550" spans="1:2" x14ac:dyDescent="0.25">
      <c r="A550" s="131" t="s">
        <v>82</v>
      </c>
      <c r="B550" s="131">
        <v>1</v>
      </c>
    </row>
    <row r="551" spans="1:2" x14ac:dyDescent="0.25">
      <c r="A551" s="131" t="s">
        <v>74</v>
      </c>
      <c r="B551" s="131">
        <v>1</v>
      </c>
    </row>
    <row r="552" spans="1:2" x14ac:dyDescent="0.25">
      <c r="A552" s="131" t="s">
        <v>84</v>
      </c>
      <c r="B552" s="131">
        <v>1</v>
      </c>
    </row>
    <row r="553" spans="1:2" x14ac:dyDescent="0.25">
      <c r="A553" s="131" t="s">
        <v>29</v>
      </c>
      <c r="B553" s="131">
        <v>1</v>
      </c>
    </row>
    <row r="554" spans="1:2" x14ac:dyDescent="0.25">
      <c r="A554" s="131" t="s">
        <v>50</v>
      </c>
      <c r="B554" s="131">
        <v>1</v>
      </c>
    </row>
    <row r="555" spans="1:2" x14ac:dyDescent="0.25">
      <c r="A555" s="131" t="s">
        <v>74</v>
      </c>
      <c r="B555" s="131">
        <v>1</v>
      </c>
    </row>
    <row r="556" spans="1:2" x14ac:dyDescent="0.25">
      <c r="A556" s="131" t="s">
        <v>74</v>
      </c>
      <c r="B556" s="131">
        <v>1</v>
      </c>
    </row>
    <row r="557" spans="1:2" x14ac:dyDescent="0.25">
      <c r="A557" s="131" t="s">
        <v>10</v>
      </c>
      <c r="B557" s="131">
        <v>1</v>
      </c>
    </row>
    <row r="558" spans="1:2" x14ac:dyDescent="0.25">
      <c r="A558" s="131" t="s">
        <v>10</v>
      </c>
      <c r="B558" s="131">
        <v>1</v>
      </c>
    </row>
    <row r="559" spans="1:2" x14ac:dyDescent="0.25">
      <c r="A559" s="131" t="s">
        <v>43</v>
      </c>
      <c r="B559" s="131">
        <v>1</v>
      </c>
    </row>
    <row r="560" spans="1:2" x14ac:dyDescent="0.25">
      <c r="A560" s="131" t="s">
        <v>74</v>
      </c>
      <c r="B560" s="131">
        <v>1</v>
      </c>
    </row>
    <row r="561" spans="1:2" x14ac:dyDescent="0.25">
      <c r="A561" s="131" t="s">
        <v>46</v>
      </c>
      <c r="B561" s="131">
        <v>1</v>
      </c>
    </row>
    <row r="562" spans="1:2" x14ac:dyDescent="0.25">
      <c r="A562" s="131" t="s">
        <v>58</v>
      </c>
      <c r="B562" s="131">
        <v>1</v>
      </c>
    </row>
    <row r="563" spans="1:2" x14ac:dyDescent="0.25">
      <c r="A563" s="131" t="s">
        <v>67</v>
      </c>
      <c r="B563" s="131">
        <v>1</v>
      </c>
    </row>
    <row r="564" spans="1:2" x14ac:dyDescent="0.25">
      <c r="A564" s="131" t="s">
        <v>60</v>
      </c>
      <c r="B564" s="131">
        <v>1</v>
      </c>
    </row>
    <row r="565" spans="1:2" x14ac:dyDescent="0.25">
      <c r="A565" s="131" t="s">
        <v>78</v>
      </c>
      <c r="B565" s="131">
        <v>1</v>
      </c>
    </row>
    <row r="566" spans="1:2" x14ac:dyDescent="0.25">
      <c r="A566" s="131" t="s">
        <v>62</v>
      </c>
      <c r="B566" s="131">
        <v>1</v>
      </c>
    </row>
    <row r="567" spans="1:2" x14ac:dyDescent="0.25">
      <c r="A567" s="131" t="s">
        <v>29</v>
      </c>
      <c r="B567" s="131">
        <v>1</v>
      </c>
    </row>
    <row r="568" spans="1:2" x14ac:dyDescent="0.25">
      <c r="A568" s="131" t="s">
        <v>43</v>
      </c>
      <c r="B568" s="131">
        <v>1</v>
      </c>
    </row>
    <row r="569" spans="1:2" x14ac:dyDescent="0.25">
      <c r="A569" s="131" t="s">
        <v>74</v>
      </c>
      <c r="B569" s="131">
        <v>1</v>
      </c>
    </row>
    <row r="570" spans="1:2" x14ac:dyDescent="0.25">
      <c r="A570" s="131" t="s">
        <v>43</v>
      </c>
      <c r="B570" s="131">
        <v>1</v>
      </c>
    </row>
    <row r="571" spans="1:2" x14ac:dyDescent="0.25">
      <c r="A571" s="131" t="s">
        <v>10</v>
      </c>
      <c r="B571" s="131">
        <v>1</v>
      </c>
    </row>
    <row r="572" spans="1:2" x14ac:dyDescent="0.25">
      <c r="A572" s="131" t="s">
        <v>46</v>
      </c>
      <c r="B572" s="131">
        <v>1</v>
      </c>
    </row>
    <row r="573" spans="1:2" x14ac:dyDescent="0.25">
      <c r="A573" s="131" t="s">
        <v>74</v>
      </c>
      <c r="B573" s="131">
        <v>1</v>
      </c>
    </row>
    <row r="574" spans="1:2" x14ac:dyDescent="0.25">
      <c r="A574" s="131" t="s">
        <v>10</v>
      </c>
      <c r="B574" s="131">
        <v>1</v>
      </c>
    </row>
    <row r="575" spans="1:2" x14ac:dyDescent="0.25">
      <c r="A575" s="131" t="s">
        <v>60</v>
      </c>
      <c r="B575" s="131">
        <v>1</v>
      </c>
    </row>
    <row r="576" spans="1:2" x14ac:dyDescent="0.25">
      <c r="A576" s="131" t="s">
        <v>76</v>
      </c>
      <c r="B576" s="131">
        <v>1</v>
      </c>
    </row>
    <row r="577" spans="1:2" x14ac:dyDescent="0.25">
      <c r="A577" s="131" t="s">
        <v>29</v>
      </c>
      <c r="B577" s="131">
        <v>1</v>
      </c>
    </row>
    <row r="578" spans="1:2" x14ac:dyDescent="0.25">
      <c r="A578" s="131" t="s">
        <v>89</v>
      </c>
      <c r="B578" s="131">
        <v>1</v>
      </c>
    </row>
    <row r="579" spans="1:2" x14ac:dyDescent="0.25">
      <c r="A579" s="131" t="s">
        <v>62</v>
      </c>
      <c r="B579" s="131">
        <v>1</v>
      </c>
    </row>
    <row r="580" spans="1:2" x14ac:dyDescent="0.25">
      <c r="A580" s="131" t="s">
        <v>29</v>
      </c>
      <c r="B580" s="131">
        <v>1</v>
      </c>
    </row>
    <row r="581" spans="1:2" x14ac:dyDescent="0.25">
      <c r="A581" s="131" t="s">
        <v>41</v>
      </c>
      <c r="B581" s="131">
        <v>1</v>
      </c>
    </row>
    <row r="582" spans="1:2" x14ac:dyDescent="0.25">
      <c r="A582" s="131" t="s">
        <v>29</v>
      </c>
      <c r="B582" s="131">
        <v>1</v>
      </c>
    </row>
    <row r="583" spans="1:2" x14ac:dyDescent="0.25">
      <c r="A583" s="131" t="s">
        <v>60</v>
      </c>
      <c r="B583" s="131">
        <v>1</v>
      </c>
    </row>
    <row r="584" spans="1:2" x14ac:dyDescent="0.25">
      <c r="A584" s="131" t="s">
        <v>76</v>
      </c>
      <c r="B584" s="131">
        <v>1</v>
      </c>
    </row>
    <row r="585" spans="1:2" x14ac:dyDescent="0.25">
      <c r="A585" s="131" t="s">
        <v>50</v>
      </c>
      <c r="B585" s="131">
        <v>1</v>
      </c>
    </row>
    <row r="586" spans="1:2" x14ac:dyDescent="0.25">
      <c r="A586" s="131" t="s">
        <v>76</v>
      </c>
      <c r="B586" s="131">
        <v>1</v>
      </c>
    </row>
    <row r="587" spans="1:2" x14ac:dyDescent="0.25">
      <c r="A587" s="131" t="s">
        <v>55</v>
      </c>
      <c r="B587" s="131">
        <v>1</v>
      </c>
    </row>
    <row r="588" spans="1:2" x14ac:dyDescent="0.25">
      <c r="A588" s="131" t="s">
        <v>64</v>
      </c>
      <c r="B588" s="131">
        <v>1</v>
      </c>
    </row>
    <row r="589" spans="1:2" x14ac:dyDescent="0.25">
      <c r="A589" s="131" t="s">
        <v>10</v>
      </c>
      <c r="B589" s="131">
        <v>1</v>
      </c>
    </row>
    <row r="590" spans="1:2" x14ac:dyDescent="0.25">
      <c r="A590" s="131" t="s">
        <v>74</v>
      </c>
      <c r="B590" s="131">
        <v>1</v>
      </c>
    </row>
    <row r="591" spans="1:2" x14ac:dyDescent="0.25">
      <c r="A591" s="131" t="s">
        <v>43</v>
      </c>
      <c r="B591" s="131">
        <v>1</v>
      </c>
    </row>
    <row r="592" spans="1:2" x14ac:dyDescent="0.25">
      <c r="A592" s="131" t="s">
        <v>74</v>
      </c>
      <c r="B592" s="131">
        <v>1</v>
      </c>
    </row>
    <row r="593" spans="1:2" x14ac:dyDescent="0.25">
      <c r="A593" s="131" t="s">
        <v>29</v>
      </c>
      <c r="B593" s="131">
        <v>1</v>
      </c>
    </row>
    <row r="594" spans="1:2" x14ac:dyDescent="0.25">
      <c r="A594" s="131" t="s">
        <v>74</v>
      </c>
      <c r="B594" s="131">
        <v>1</v>
      </c>
    </row>
    <row r="595" spans="1:2" x14ac:dyDescent="0.25">
      <c r="A595" s="131" t="s">
        <v>72</v>
      </c>
      <c r="B595" s="131">
        <v>1</v>
      </c>
    </row>
    <row r="596" spans="1:2" x14ac:dyDescent="0.25">
      <c r="A596" s="131" t="s">
        <v>50</v>
      </c>
      <c r="B596" s="131">
        <v>1</v>
      </c>
    </row>
    <row r="597" spans="1:2" x14ac:dyDescent="0.25">
      <c r="A597" s="131" t="s">
        <v>10</v>
      </c>
      <c r="B597" s="131">
        <v>1</v>
      </c>
    </row>
    <row r="598" spans="1:2" x14ac:dyDescent="0.25">
      <c r="A598" s="131" t="s">
        <v>28</v>
      </c>
      <c r="B598" s="131">
        <v>1</v>
      </c>
    </row>
    <row r="599" spans="1:2" x14ac:dyDescent="0.25">
      <c r="A599" s="131" t="s">
        <v>86</v>
      </c>
      <c r="B599" s="131">
        <v>-1</v>
      </c>
    </row>
    <row r="600" spans="1:2" x14ac:dyDescent="0.25">
      <c r="A600" s="131" t="s">
        <v>74</v>
      </c>
      <c r="B600" s="131">
        <v>1</v>
      </c>
    </row>
    <row r="601" spans="1:2" x14ac:dyDescent="0.25">
      <c r="A601" s="131" t="s">
        <v>76</v>
      </c>
      <c r="B601" s="131">
        <v>1</v>
      </c>
    </row>
    <row r="602" spans="1:2" x14ac:dyDescent="0.25">
      <c r="A602" s="131" t="s">
        <v>62</v>
      </c>
      <c r="B602" s="131">
        <v>1</v>
      </c>
    </row>
    <row r="603" spans="1:2" x14ac:dyDescent="0.25">
      <c r="A603" s="131" t="s">
        <v>43</v>
      </c>
      <c r="B603" s="131">
        <v>1</v>
      </c>
    </row>
    <row r="604" spans="1:2" x14ac:dyDescent="0.25">
      <c r="A604" s="131" t="s">
        <v>76</v>
      </c>
      <c r="B604" s="131">
        <v>1</v>
      </c>
    </row>
    <row r="605" spans="1:2" x14ac:dyDescent="0.25">
      <c r="A605" s="131" t="s">
        <v>74</v>
      </c>
      <c r="B605" s="131">
        <v>1</v>
      </c>
    </row>
    <row r="606" spans="1:2" x14ac:dyDescent="0.25">
      <c r="A606" s="131" t="s">
        <v>48</v>
      </c>
      <c r="B606" s="131">
        <v>1</v>
      </c>
    </row>
    <row r="607" spans="1:2" x14ac:dyDescent="0.25">
      <c r="A607" s="131" t="s">
        <v>76</v>
      </c>
      <c r="B607" s="131">
        <v>1</v>
      </c>
    </row>
    <row r="608" spans="1:2" x14ac:dyDescent="0.25">
      <c r="A608" s="131" t="s">
        <v>82</v>
      </c>
      <c r="B608" s="131">
        <v>1</v>
      </c>
    </row>
    <row r="609" spans="1:2" x14ac:dyDescent="0.25">
      <c r="A609" s="131" t="s">
        <v>74</v>
      </c>
      <c r="B609" s="131">
        <v>1</v>
      </c>
    </row>
    <row r="610" spans="1:2" x14ac:dyDescent="0.25">
      <c r="A610" s="131" t="s">
        <v>45</v>
      </c>
      <c r="B610" s="131">
        <v>1</v>
      </c>
    </row>
    <row r="611" spans="1:2" x14ac:dyDescent="0.25">
      <c r="A611" s="131" t="s">
        <v>53</v>
      </c>
      <c r="B611" s="131">
        <v>1</v>
      </c>
    </row>
    <row r="612" spans="1:2" x14ac:dyDescent="0.25">
      <c r="A612" s="131" t="s">
        <v>43</v>
      </c>
      <c r="B612" s="131">
        <v>1</v>
      </c>
    </row>
    <row r="613" spans="1:2" x14ac:dyDescent="0.25">
      <c r="A613" s="131" t="s">
        <v>10</v>
      </c>
      <c r="B613" s="131">
        <v>1</v>
      </c>
    </row>
    <row r="614" spans="1:2" x14ac:dyDescent="0.25">
      <c r="A614" s="131" t="s">
        <v>43</v>
      </c>
      <c r="B614" s="131">
        <v>1</v>
      </c>
    </row>
    <row r="615" spans="1:2" x14ac:dyDescent="0.25">
      <c r="A615" s="131" t="s">
        <v>43</v>
      </c>
      <c r="B615" s="131">
        <v>1</v>
      </c>
    </row>
    <row r="616" spans="1:2" x14ac:dyDescent="0.25">
      <c r="A616" s="131" t="s">
        <v>76</v>
      </c>
      <c r="B616" s="131">
        <v>1</v>
      </c>
    </row>
    <row r="617" spans="1:2" x14ac:dyDescent="0.25">
      <c r="A617" s="131" t="s">
        <v>43</v>
      </c>
      <c r="B617" s="131">
        <v>1</v>
      </c>
    </row>
    <row r="618" spans="1:2" x14ac:dyDescent="0.25">
      <c r="A618" s="131" t="s">
        <v>76</v>
      </c>
      <c r="B618" s="131">
        <v>1</v>
      </c>
    </row>
    <row r="619" spans="1:2" x14ac:dyDescent="0.25">
      <c r="A619" s="131" t="s">
        <v>41</v>
      </c>
      <c r="B619" s="131">
        <v>1</v>
      </c>
    </row>
    <row r="620" spans="1:2" x14ac:dyDescent="0.25">
      <c r="A620" s="131" t="s">
        <v>41</v>
      </c>
      <c r="B620" s="131">
        <v>1</v>
      </c>
    </row>
    <row r="621" spans="1:2" x14ac:dyDescent="0.25">
      <c r="A621" s="131" t="s">
        <v>76</v>
      </c>
      <c r="B621" s="131">
        <v>1</v>
      </c>
    </row>
    <row r="622" spans="1:2" x14ac:dyDescent="0.25">
      <c r="A622" s="131" t="s">
        <v>93</v>
      </c>
      <c r="B622" s="131">
        <v>1</v>
      </c>
    </row>
    <row r="623" spans="1:2" x14ac:dyDescent="0.25">
      <c r="A623" s="131" t="s">
        <v>43</v>
      </c>
      <c r="B623" s="131">
        <v>1</v>
      </c>
    </row>
    <row r="624" spans="1:2" x14ac:dyDescent="0.25">
      <c r="A624" s="131" t="s">
        <v>43</v>
      </c>
      <c r="B624" s="131">
        <v>1</v>
      </c>
    </row>
    <row r="625" spans="1:2" x14ac:dyDescent="0.25">
      <c r="A625" s="131" t="s">
        <v>10</v>
      </c>
      <c r="B625" s="131">
        <v>1</v>
      </c>
    </row>
    <row r="626" spans="1:2" x14ac:dyDescent="0.25">
      <c r="A626" s="131" t="s">
        <v>43</v>
      </c>
      <c r="B626" s="131">
        <v>1</v>
      </c>
    </row>
    <row r="627" spans="1:2" x14ac:dyDescent="0.25">
      <c r="A627" s="131" t="s">
        <v>43</v>
      </c>
      <c r="B627" s="131">
        <v>1</v>
      </c>
    </row>
    <row r="628" spans="1:2" x14ac:dyDescent="0.25">
      <c r="A628" s="131" t="s">
        <v>50</v>
      </c>
      <c r="B628" s="131">
        <v>1</v>
      </c>
    </row>
    <row r="629" spans="1:2" x14ac:dyDescent="0.25">
      <c r="A629" s="131" t="s">
        <v>48</v>
      </c>
      <c r="B629" s="131">
        <v>1</v>
      </c>
    </row>
    <row r="630" spans="1:2" x14ac:dyDescent="0.25">
      <c r="A630" s="131" t="s">
        <v>82</v>
      </c>
      <c r="B630" s="131">
        <v>1</v>
      </c>
    </row>
    <row r="631" spans="1:2" x14ac:dyDescent="0.25">
      <c r="A631" s="131" t="s">
        <v>95</v>
      </c>
      <c r="B631" s="131">
        <v>1</v>
      </c>
    </row>
    <row r="632" spans="1:2" x14ac:dyDescent="0.25">
      <c r="A632" s="131" t="s">
        <v>97</v>
      </c>
      <c r="B632" s="131">
        <v>1</v>
      </c>
    </row>
    <row r="633" spans="1:2" x14ac:dyDescent="0.25">
      <c r="A633" s="131" t="s">
        <v>97</v>
      </c>
      <c r="B633" s="131">
        <v>1</v>
      </c>
    </row>
    <row r="634" spans="1:2" x14ac:dyDescent="0.25">
      <c r="A634" s="131" t="s">
        <v>43</v>
      </c>
      <c r="B634" s="131">
        <v>1</v>
      </c>
    </row>
    <row r="635" spans="1:2" x14ac:dyDescent="0.25">
      <c r="A635" s="131" t="s">
        <v>41</v>
      </c>
      <c r="B635" s="131">
        <v>1</v>
      </c>
    </row>
    <row r="636" spans="1:2" x14ac:dyDescent="0.25">
      <c r="A636" s="131" t="s">
        <v>74</v>
      </c>
      <c r="B636" s="131">
        <v>1</v>
      </c>
    </row>
    <row r="637" spans="1:2" x14ac:dyDescent="0.25">
      <c r="A637" s="131" t="s">
        <v>76</v>
      </c>
      <c r="B637" s="131">
        <v>1</v>
      </c>
    </row>
    <row r="638" spans="1:2" x14ac:dyDescent="0.25">
      <c r="A638" s="131" t="s">
        <v>76</v>
      </c>
      <c r="B638" s="131">
        <v>1</v>
      </c>
    </row>
    <row r="639" spans="1:2" x14ac:dyDescent="0.25">
      <c r="A639" s="131" t="s">
        <v>76</v>
      </c>
      <c r="B639" s="131">
        <v>1</v>
      </c>
    </row>
    <row r="640" spans="1:2" x14ac:dyDescent="0.25">
      <c r="A640" s="131" t="s">
        <v>50</v>
      </c>
      <c r="B640" s="131">
        <v>1</v>
      </c>
    </row>
    <row r="641" spans="1:2" x14ac:dyDescent="0.25">
      <c r="A641" s="131" t="s">
        <v>10</v>
      </c>
      <c r="B641" s="131">
        <v>1</v>
      </c>
    </row>
    <row r="642" spans="1:2" x14ac:dyDescent="0.25">
      <c r="A642" s="131" t="s">
        <v>60</v>
      </c>
      <c r="B642" s="131">
        <v>1</v>
      </c>
    </row>
    <row r="643" spans="1:2" x14ac:dyDescent="0.25">
      <c r="A643" s="131" t="s">
        <v>64</v>
      </c>
      <c r="B643" s="131">
        <v>1</v>
      </c>
    </row>
    <row r="644" spans="1:2" x14ac:dyDescent="0.25">
      <c r="A644" s="131" t="s">
        <v>76</v>
      </c>
      <c r="B644" s="131">
        <v>1</v>
      </c>
    </row>
    <row r="645" spans="1:2" x14ac:dyDescent="0.25">
      <c r="A645" s="131" t="s">
        <v>43</v>
      </c>
      <c r="B645" s="131">
        <v>1</v>
      </c>
    </row>
    <row r="646" spans="1:2" x14ac:dyDescent="0.25">
      <c r="A646" s="131" t="s">
        <v>89</v>
      </c>
      <c r="B646" s="131">
        <v>1</v>
      </c>
    </row>
    <row r="647" spans="1:2" x14ac:dyDescent="0.25">
      <c r="A647" s="131" t="s">
        <v>47</v>
      </c>
      <c r="B647" s="131">
        <v>1</v>
      </c>
    </row>
    <row r="648" spans="1:2" x14ac:dyDescent="0.25">
      <c r="A648" s="131" t="s">
        <v>74</v>
      </c>
      <c r="B648" s="131">
        <v>1</v>
      </c>
    </row>
    <row r="649" spans="1:2" x14ac:dyDescent="0.25">
      <c r="A649" s="131" t="s">
        <v>95</v>
      </c>
      <c r="B649" s="131">
        <v>1</v>
      </c>
    </row>
    <row r="650" spans="1:2" x14ac:dyDescent="0.25">
      <c r="A650" s="131" t="s">
        <v>95</v>
      </c>
      <c r="B650" s="131">
        <v>1</v>
      </c>
    </row>
    <row r="651" spans="1:2" x14ac:dyDescent="0.25">
      <c r="A651" s="131" t="s">
        <v>48</v>
      </c>
      <c r="B651" s="131">
        <v>1</v>
      </c>
    </row>
    <row r="652" spans="1:2" x14ac:dyDescent="0.25">
      <c r="A652" s="131" t="s">
        <v>76</v>
      </c>
      <c r="B652" s="131">
        <v>1</v>
      </c>
    </row>
    <row r="653" spans="1:2" x14ac:dyDescent="0.25">
      <c r="A653" s="131" t="s">
        <v>43</v>
      </c>
      <c r="B653" s="131">
        <v>1</v>
      </c>
    </row>
    <row r="654" spans="1:2" x14ac:dyDescent="0.25">
      <c r="A654" s="131" t="s">
        <v>74</v>
      </c>
      <c r="B654" s="131">
        <v>1</v>
      </c>
    </row>
    <row r="655" spans="1:2" x14ac:dyDescent="0.25">
      <c r="A655" s="131" t="s">
        <v>76</v>
      </c>
      <c r="B655" s="131">
        <v>1</v>
      </c>
    </row>
    <row r="656" spans="1:2" x14ac:dyDescent="0.25">
      <c r="A656" s="131" t="s">
        <v>74</v>
      </c>
      <c r="B656" s="131">
        <v>1</v>
      </c>
    </row>
    <row r="657" spans="1:2" x14ac:dyDescent="0.25">
      <c r="A657" s="131" t="s">
        <v>58</v>
      </c>
      <c r="B657" s="131">
        <v>1</v>
      </c>
    </row>
    <row r="658" spans="1:2" x14ac:dyDescent="0.25">
      <c r="A658" s="131" t="s">
        <v>55</v>
      </c>
      <c r="B658" s="131">
        <v>1</v>
      </c>
    </row>
    <row r="659" spans="1:2" x14ac:dyDescent="0.25">
      <c r="A659" s="131" t="s">
        <v>74</v>
      </c>
      <c r="B659" s="131">
        <v>1</v>
      </c>
    </row>
    <row r="660" spans="1:2" x14ac:dyDescent="0.25">
      <c r="A660" s="131" t="s">
        <v>43</v>
      </c>
      <c r="B660" s="131">
        <v>1</v>
      </c>
    </row>
    <row r="661" spans="1:2" x14ac:dyDescent="0.25">
      <c r="A661" s="131" t="s">
        <v>62</v>
      </c>
      <c r="B661" s="131">
        <v>1</v>
      </c>
    </row>
    <row r="662" spans="1:2" x14ac:dyDescent="0.25">
      <c r="A662" s="131" t="s">
        <v>86</v>
      </c>
      <c r="B662" s="131">
        <v>-1</v>
      </c>
    </row>
    <row r="663" spans="1:2" x14ac:dyDescent="0.25">
      <c r="A663" s="131" t="s">
        <v>91</v>
      </c>
      <c r="B663" s="131">
        <v>1</v>
      </c>
    </row>
    <row r="664" spans="1:2" x14ac:dyDescent="0.25">
      <c r="A664" s="131" t="s">
        <v>10</v>
      </c>
      <c r="B664" s="131">
        <v>1</v>
      </c>
    </row>
    <row r="665" spans="1:2" x14ac:dyDescent="0.25">
      <c r="A665" s="131" t="s">
        <v>10</v>
      </c>
      <c r="B665" s="131">
        <v>1</v>
      </c>
    </row>
    <row r="666" spans="1:2" x14ac:dyDescent="0.25">
      <c r="A666" s="131" t="s">
        <v>10</v>
      </c>
      <c r="B666" s="131">
        <v>1</v>
      </c>
    </row>
    <row r="667" spans="1:2" x14ac:dyDescent="0.25">
      <c r="A667" s="131" t="s">
        <v>29</v>
      </c>
      <c r="B667" s="131">
        <v>1</v>
      </c>
    </row>
    <row r="668" spans="1:2" x14ac:dyDescent="0.25">
      <c r="A668" s="131" t="s">
        <v>74</v>
      </c>
      <c r="B668" s="131">
        <v>1</v>
      </c>
    </row>
    <row r="669" spans="1:2" x14ac:dyDescent="0.25">
      <c r="A669" s="131" t="s">
        <v>48</v>
      </c>
      <c r="B669" s="131">
        <v>1</v>
      </c>
    </row>
    <row r="670" spans="1:2" x14ac:dyDescent="0.25">
      <c r="A670" s="131" t="s">
        <v>48</v>
      </c>
      <c r="B670" s="131">
        <v>1</v>
      </c>
    </row>
    <row r="671" spans="1:2" x14ac:dyDescent="0.25">
      <c r="A671" s="131" t="s">
        <v>97</v>
      </c>
      <c r="B671" s="131">
        <v>1</v>
      </c>
    </row>
    <row r="672" spans="1:2" x14ac:dyDescent="0.25">
      <c r="A672" s="131" t="s">
        <v>95</v>
      </c>
      <c r="B672" s="131">
        <v>1</v>
      </c>
    </row>
    <row r="673" spans="1:2" x14ac:dyDescent="0.25">
      <c r="A673" s="131" t="s">
        <v>84</v>
      </c>
      <c r="B673" s="131">
        <v>1</v>
      </c>
    </row>
    <row r="674" spans="1:2" x14ac:dyDescent="0.25">
      <c r="A674" s="131" t="s">
        <v>84</v>
      </c>
      <c r="B674" s="131">
        <v>1</v>
      </c>
    </row>
    <row r="675" spans="1:2" x14ac:dyDescent="0.25">
      <c r="A675" s="131" t="s">
        <v>33</v>
      </c>
      <c r="B675" s="131">
        <v>1</v>
      </c>
    </row>
    <row r="676" spans="1:2" x14ac:dyDescent="0.25">
      <c r="A676" s="131" t="s">
        <v>47</v>
      </c>
      <c r="B676" s="131">
        <v>1</v>
      </c>
    </row>
    <row r="677" spans="1:2" x14ac:dyDescent="0.25">
      <c r="A677" s="131" t="s">
        <v>46</v>
      </c>
      <c r="B677" s="131">
        <v>1</v>
      </c>
    </row>
    <row r="678" spans="1:2" x14ac:dyDescent="0.25">
      <c r="A678" s="131" t="s">
        <v>10</v>
      </c>
      <c r="B678" s="131">
        <v>1</v>
      </c>
    </row>
    <row r="679" spans="1:2" x14ac:dyDescent="0.25">
      <c r="A679" s="131" t="s">
        <v>76</v>
      </c>
      <c r="B679" s="131">
        <v>1</v>
      </c>
    </row>
    <row r="680" spans="1:2" x14ac:dyDescent="0.25">
      <c r="A680" s="131" t="s">
        <v>53</v>
      </c>
      <c r="B680" s="131">
        <v>1</v>
      </c>
    </row>
    <row r="681" spans="1:2" x14ac:dyDescent="0.25">
      <c r="A681" s="131" t="s">
        <v>53</v>
      </c>
      <c r="B681" s="131">
        <v>1</v>
      </c>
    </row>
    <row r="682" spans="1:2" x14ac:dyDescent="0.25">
      <c r="A682" s="131" t="s">
        <v>97</v>
      </c>
      <c r="B682" s="131">
        <v>1</v>
      </c>
    </row>
    <row r="683" spans="1:2" x14ac:dyDescent="0.25">
      <c r="A683" s="131" t="s">
        <v>10</v>
      </c>
      <c r="B683" s="131">
        <v>1</v>
      </c>
    </row>
    <row r="684" spans="1:2" x14ac:dyDescent="0.25">
      <c r="A684" s="131" t="s">
        <v>10</v>
      </c>
      <c r="B684" s="131">
        <v>1</v>
      </c>
    </row>
    <row r="685" spans="1:2" x14ac:dyDescent="0.25">
      <c r="A685" s="131" t="s">
        <v>45</v>
      </c>
      <c r="B685" s="131">
        <v>1</v>
      </c>
    </row>
    <row r="686" spans="1:2" x14ac:dyDescent="0.25">
      <c r="A686" s="131" t="s">
        <v>84</v>
      </c>
      <c r="B686" s="131">
        <v>1</v>
      </c>
    </row>
    <row r="687" spans="1:2" x14ac:dyDescent="0.25">
      <c r="A687" s="131" t="s">
        <v>84</v>
      </c>
      <c r="B687" s="131">
        <v>1</v>
      </c>
    </row>
    <row r="688" spans="1:2" x14ac:dyDescent="0.25">
      <c r="A688" s="131" t="s">
        <v>50</v>
      </c>
      <c r="B688" s="131">
        <v>1</v>
      </c>
    </row>
    <row r="689" spans="1:2" x14ac:dyDescent="0.25">
      <c r="A689" s="131" t="s">
        <v>50</v>
      </c>
      <c r="B689" s="131">
        <v>1</v>
      </c>
    </row>
    <row r="690" spans="1:2" x14ac:dyDescent="0.25">
      <c r="A690" s="131" t="s">
        <v>84</v>
      </c>
      <c r="B690" s="131">
        <v>1</v>
      </c>
    </row>
    <row r="691" spans="1:2" x14ac:dyDescent="0.25">
      <c r="A691" s="131" t="s">
        <v>41</v>
      </c>
      <c r="B691" s="131">
        <v>1</v>
      </c>
    </row>
    <row r="692" spans="1:2" x14ac:dyDescent="0.25">
      <c r="A692" s="131" t="s">
        <v>43</v>
      </c>
      <c r="B692" s="131">
        <v>1</v>
      </c>
    </row>
    <row r="693" spans="1:2" x14ac:dyDescent="0.25">
      <c r="A693" s="131" t="s">
        <v>89</v>
      </c>
      <c r="B693" s="131">
        <v>1</v>
      </c>
    </row>
    <row r="694" spans="1:2" x14ac:dyDescent="0.25">
      <c r="A694" s="131" t="s">
        <v>74</v>
      </c>
      <c r="B694" s="131">
        <v>1</v>
      </c>
    </row>
    <row r="695" spans="1:2" x14ac:dyDescent="0.25">
      <c r="A695" s="131" t="s">
        <v>43</v>
      </c>
      <c r="B695" s="131">
        <v>1</v>
      </c>
    </row>
    <row r="696" spans="1:2" x14ac:dyDescent="0.25">
      <c r="A696" s="131" t="s">
        <v>89</v>
      </c>
      <c r="B696" s="131">
        <v>1</v>
      </c>
    </row>
    <row r="697" spans="1:2" x14ac:dyDescent="0.25">
      <c r="A697" s="131" t="s">
        <v>46</v>
      </c>
      <c r="B697" s="131">
        <v>1</v>
      </c>
    </row>
    <row r="698" spans="1:2" x14ac:dyDescent="0.25">
      <c r="A698" s="131" t="s">
        <v>43</v>
      </c>
      <c r="B698" s="131">
        <v>1</v>
      </c>
    </row>
    <row r="699" spans="1:2" x14ac:dyDescent="0.25">
      <c r="A699" s="131" t="s">
        <v>43</v>
      </c>
      <c r="B699" s="131">
        <v>1</v>
      </c>
    </row>
    <row r="700" spans="1:2" x14ac:dyDescent="0.25">
      <c r="A700" s="131" t="s">
        <v>74</v>
      </c>
      <c r="B700" s="131">
        <v>1</v>
      </c>
    </row>
    <row r="701" spans="1:2" x14ac:dyDescent="0.25">
      <c r="A701" s="131" t="s">
        <v>43</v>
      </c>
      <c r="B701" s="131">
        <v>1</v>
      </c>
    </row>
    <row r="702" spans="1:2" x14ac:dyDescent="0.25">
      <c r="A702" s="131" t="s">
        <v>76</v>
      </c>
      <c r="B702" s="131">
        <v>1</v>
      </c>
    </row>
    <row r="703" spans="1:2" x14ac:dyDescent="0.25">
      <c r="A703" s="131" t="s">
        <v>60</v>
      </c>
      <c r="B703" s="131">
        <v>1</v>
      </c>
    </row>
    <row r="704" spans="1:2" x14ac:dyDescent="0.25">
      <c r="A704" s="131" t="s">
        <v>76</v>
      </c>
      <c r="B704" s="131">
        <v>1</v>
      </c>
    </row>
    <row r="705" spans="1:2" x14ac:dyDescent="0.25">
      <c r="A705" s="131" t="s">
        <v>48</v>
      </c>
      <c r="B705" s="131">
        <v>1</v>
      </c>
    </row>
    <row r="706" spans="1:2" x14ac:dyDescent="0.25">
      <c r="A706" s="131" t="s">
        <v>10</v>
      </c>
      <c r="B706" s="131">
        <v>1</v>
      </c>
    </row>
    <row r="707" spans="1:2" x14ac:dyDescent="0.25">
      <c r="A707" s="131" t="s">
        <v>82</v>
      </c>
      <c r="B707" s="131">
        <v>1</v>
      </c>
    </row>
    <row r="708" spans="1:2" x14ac:dyDescent="0.25">
      <c r="A708" s="131" t="s">
        <v>48</v>
      </c>
      <c r="B708" s="131">
        <v>1</v>
      </c>
    </row>
    <row r="709" spans="1:2" x14ac:dyDescent="0.25">
      <c r="A709" s="131" t="s">
        <v>91</v>
      </c>
      <c r="B709" s="131">
        <v>1</v>
      </c>
    </row>
    <row r="710" spans="1:2" x14ac:dyDescent="0.25">
      <c r="A710" s="131" t="s">
        <v>47</v>
      </c>
      <c r="B710" s="131">
        <v>1</v>
      </c>
    </row>
    <row r="711" spans="1:2" x14ac:dyDescent="0.25">
      <c r="A711" s="131" t="s">
        <v>47</v>
      </c>
      <c r="B711" s="131">
        <v>1</v>
      </c>
    </row>
    <row r="712" spans="1:2" x14ac:dyDescent="0.25">
      <c r="A712" s="131" t="s">
        <v>47</v>
      </c>
      <c r="B712" s="131">
        <v>1</v>
      </c>
    </row>
    <row r="713" spans="1:2" x14ac:dyDescent="0.25">
      <c r="A713" s="131" t="s">
        <v>76</v>
      </c>
      <c r="B713" s="131">
        <v>1</v>
      </c>
    </row>
    <row r="714" spans="1:2" x14ac:dyDescent="0.25">
      <c r="A714" s="131" t="s">
        <v>76</v>
      </c>
      <c r="B714" s="131">
        <v>1</v>
      </c>
    </row>
    <row r="715" spans="1:2" x14ac:dyDescent="0.25">
      <c r="A715" s="131" t="s">
        <v>74</v>
      </c>
      <c r="B715" s="131">
        <v>1</v>
      </c>
    </row>
    <row r="716" spans="1:2" x14ac:dyDescent="0.25">
      <c r="A716" s="131" t="s">
        <v>29</v>
      </c>
      <c r="B716" s="131">
        <v>1</v>
      </c>
    </row>
    <row r="717" spans="1:2" x14ac:dyDescent="0.25">
      <c r="A717" s="131" t="s">
        <v>41</v>
      </c>
      <c r="B717" s="131">
        <v>1</v>
      </c>
    </row>
    <row r="718" spans="1:2" x14ac:dyDescent="0.25">
      <c r="A718" s="131" t="s">
        <v>45</v>
      </c>
      <c r="B718" s="131">
        <v>1</v>
      </c>
    </row>
    <row r="719" spans="1:2" x14ac:dyDescent="0.25">
      <c r="A719" s="131" t="s">
        <v>10</v>
      </c>
      <c r="B719" s="131">
        <v>1</v>
      </c>
    </row>
    <row r="720" spans="1:2" x14ac:dyDescent="0.25">
      <c r="A720" s="131" t="s">
        <v>78</v>
      </c>
      <c r="B720" s="131">
        <v>1</v>
      </c>
    </row>
    <row r="721" spans="1:2" x14ac:dyDescent="0.25">
      <c r="A721" s="131" t="s">
        <v>78</v>
      </c>
      <c r="B721" s="131">
        <v>1</v>
      </c>
    </row>
    <row r="722" spans="1:2" x14ac:dyDescent="0.25">
      <c r="A722" s="131" t="s">
        <v>74</v>
      </c>
      <c r="B722" s="131">
        <v>1</v>
      </c>
    </row>
    <row r="723" spans="1:2" x14ac:dyDescent="0.25">
      <c r="A723" s="131" t="s">
        <v>74</v>
      </c>
      <c r="B723" s="131">
        <v>1</v>
      </c>
    </row>
    <row r="724" spans="1:2" x14ac:dyDescent="0.25">
      <c r="A724" s="131" t="s">
        <v>43</v>
      </c>
      <c r="B724" s="131">
        <v>1</v>
      </c>
    </row>
    <row r="725" spans="1:2" x14ac:dyDescent="0.25">
      <c r="A725" s="131" t="s">
        <v>43</v>
      </c>
      <c r="B725" s="131">
        <v>1</v>
      </c>
    </row>
    <row r="726" spans="1:2" x14ac:dyDescent="0.25">
      <c r="A726" s="131" t="s">
        <v>48</v>
      </c>
      <c r="B726" s="131">
        <v>1</v>
      </c>
    </row>
    <row r="727" spans="1:2" x14ac:dyDescent="0.25">
      <c r="A727" s="131" t="s">
        <v>58</v>
      </c>
      <c r="B727" s="131">
        <v>1</v>
      </c>
    </row>
    <row r="728" spans="1:2" x14ac:dyDescent="0.25">
      <c r="A728" s="131" t="s">
        <v>86</v>
      </c>
      <c r="B728" s="131">
        <v>-1</v>
      </c>
    </row>
    <row r="729" spans="1:2" x14ac:dyDescent="0.25">
      <c r="A729" s="131" t="s">
        <v>50</v>
      </c>
      <c r="B729" s="131">
        <v>-1</v>
      </c>
    </row>
    <row r="730" spans="1:2" x14ac:dyDescent="0.25">
      <c r="A730" s="131" t="s">
        <v>53</v>
      </c>
      <c r="B730" s="131">
        <v>1</v>
      </c>
    </row>
    <row r="731" spans="1:2" x14ac:dyDescent="0.25">
      <c r="A731" s="131" t="s">
        <v>41</v>
      </c>
      <c r="B731" s="131">
        <v>1</v>
      </c>
    </row>
    <row r="732" spans="1:2" x14ac:dyDescent="0.25">
      <c r="A732" s="131" t="s">
        <v>74</v>
      </c>
      <c r="B732" s="131">
        <v>1</v>
      </c>
    </row>
    <row r="733" spans="1:2" x14ac:dyDescent="0.25">
      <c r="A733" s="131" t="s">
        <v>60</v>
      </c>
      <c r="B733" s="131">
        <v>1</v>
      </c>
    </row>
    <row r="734" spans="1:2" x14ac:dyDescent="0.25">
      <c r="A734" s="131" t="s">
        <v>46</v>
      </c>
      <c r="B734" s="131">
        <v>1</v>
      </c>
    </row>
    <row r="735" spans="1:2" x14ac:dyDescent="0.25">
      <c r="A735" s="131" t="s">
        <v>46</v>
      </c>
      <c r="B735" s="131">
        <v>1</v>
      </c>
    </row>
    <row r="736" spans="1:2" x14ac:dyDescent="0.25">
      <c r="A736" s="131" t="s">
        <v>43</v>
      </c>
      <c r="B736" s="131">
        <v>1</v>
      </c>
    </row>
    <row r="737" spans="1:2" x14ac:dyDescent="0.25">
      <c r="A737" s="131" t="s">
        <v>43</v>
      </c>
      <c r="B737" s="131">
        <v>1</v>
      </c>
    </row>
    <row r="738" spans="1:2" x14ac:dyDescent="0.25">
      <c r="A738" s="131" t="s">
        <v>29</v>
      </c>
      <c r="B738" s="131">
        <v>1</v>
      </c>
    </row>
    <row r="739" spans="1:2" x14ac:dyDescent="0.25">
      <c r="A739" s="131" t="s">
        <v>29</v>
      </c>
      <c r="B739" s="131">
        <v>1</v>
      </c>
    </row>
    <row r="740" spans="1:2" x14ac:dyDescent="0.25">
      <c r="A740" s="131" t="s">
        <v>76</v>
      </c>
      <c r="B740" s="131">
        <v>1</v>
      </c>
    </row>
    <row r="741" spans="1:2" x14ac:dyDescent="0.25">
      <c r="A741" s="131" t="s">
        <v>76</v>
      </c>
      <c r="B741" s="131">
        <v>-1</v>
      </c>
    </row>
    <row r="742" spans="1:2" x14ac:dyDescent="0.25">
      <c r="A742" s="131" t="s">
        <v>10</v>
      </c>
      <c r="B742" s="131">
        <v>1</v>
      </c>
    </row>
    <row r="743" spans="1:2" x14ac:dyDescent="0.25">
      <c r="A743" s="131" t="s">
        <v>29</v>
      </c>
      <c r="B743" s="131">
        <v>1</v>
      </c>
    </row>
    <row r="744" spans="1:2" x14ac:dyDescent="0.25">
      <c r="A744" s="131" t="s">
        <v>46</v>
      </c>
      <c r="B744" s="131">
        <v>1</v>
      </c>
    </row>
    <row r="745" spans="1:2" x14ac:dyDescent="0.25">
      <c r="A745" s="131" t="s">
        <v>10</v>
      </c>
      <c r="B745" s="131">
        <v>1</v>
      </c>
    </row>
    <row r="746" spans="1:2" x14ac:dyDescent="0.25">
      <c r="A746" s="131" t="s">
        <v>48</v>
      </c>
      <c r="B746" s="131">
        <v>1</v>
      </c>
    </row>
    <row r="747" spans="1:2" x14ac:dyDescent="0.25">
      <c r="A747" s="131" t="s">
        <v>43</v>
      </c>
      <c r="B747" s="131">
        <v>1</v>
      </c>
    </row>
    <row r="748" spans="1:2" x14ac:dyDescent="0.25">
      <c r="A748" s="131" t="s">
        <v>43</v>
      </c>
      <c r="B748" s="131">
        <v>1</v>
      </c>
    </row>
    <row r="749" spans="1:2" x14ac:dyDescent="0.25">
      <c r="A749" s="131" t="s">
        <v>76</v>
      </c>
      <c r="B749" s="131">
        <v>1</v>
      </c>
    </row>
    <row r="750" spans="1:2" x14ac:dyDescent="0.25">
      <c r="A750" s="131" t="s">
        <v>74</v>
      </c>
      <c r="B750" s="131">
        <v>1</v>
      </c>
    </row>
    <row r="751" spans="1:2" x14ac:dyDescent="0.25">
      <c r="A751" s="131" t="s">
        <v>48</v>
      </c>
      <c r="B751" s="131">
        <v>1</v>
      </c>
    </row>
    <row r="752" spans="1:2" x14ac:dyDescent="0.25">
      <c r="A752" s="131" t="s">
        <v>58</v>
      </c>
      <c r="B752" s="131">
        <v>1</v>
      </c>
    </row>
    <row r="753" spans="1:2" x14ac:dyDescent="0.25">
      <c r="A753" s="131" t="s">
        <v>10</v>
      </c>
      <c r="B753" s="131">
        <v>1</v>
      </c>
    </row>
    <row r="754" spans="1:2" x14ac:dyDescent="0.25">
      <c r="A754" s="131" t="s">
        <v>74</v>
      </c>
      <c r="B754" s="131">
        <v>1</v>
      </c>
    </row>
    <row r="755" spans="1:2" x14ac:dyDescent="0.25">
      <c r="A755" s="131" t="s">
        <v>41</v>
      </c>
      <c r="B755" s="131">
        <v>1</v>
      </c>
    </row>
    <row r="756" spans="1:2" x14ac:dyDescent="0.25">
      <c r="A756" s="131" t="s">
        <v>74</v>
      </c>
      <c r="B756" s="131">
        <v>1</v>
      </c>
    </row>
    <row r="757" spans="1:2" x14ac:dyDescent="0.25">
      <c r="A757" s="131" t="s">
        <v>60</v>
      </c>
      <c r="B757" s="131">
        <v>1</v>
      </c>
    </row>
    <row r="758" spans="1:2" x14ac:dyDescent="0.25">
      <c r="A758" s="131" t="s">
        <v>55</v>
      </c>
      <c r="B758" s="131">
        <v>1</v>
      </c>
    </row>
    <row r="759" spans="1:2" x14ac:dyDescent="0.25">
      <c r="A759" s="131" t="s">
        <v>29</v>
      </c>
      <c r="B759" s="131">
        <v>1</v>
      </c>
    </row>
    <row r="760" spans="1:2" x14ac:dyDescent="0.25">
      <c r="A760" s="131" t="s">
        <v>93</v>
      </c>
      <c r="B760" s="131">
        <v>1</v>
      </c>
    </row>
    <row r="761" spans="1:2" x14ac:dyDescent="0.25">
      <c r="A761" s="131" t="s">
        <v>36</v>
      </c>
      <c r="B761" s="131">
        <v>1</v>
      </c>
    </row>
    <row r="762" spans="1:2" x14ac:dyDescent="0.25">
      <c r="A762" s="131" t="s">
        <v>41</v>
      </c>
      <c r="B762" s="131">
        <v>1</v>
      </c>
    </row>
    <row r="763" spans="1:2" x14ac:dyDescent="0.25">
      <c r="A763" s="131" t="s">
        <v>58</v>
      </c>
      <c r="B763" s="131">
        <v>1</v>
      </c>
    </row>
    <row r="764" spans="1:2" x14ac:dyDescent="0.25">
      <c r="A764" s="131" t="s">
        <v>43</v>
      </c>
      <c r="B764" s="131">
        <v>1</v>
      </c>
    </row>
    <row r="765" spans="1:2" x14ac:dyDescent="0.25">
      <c r="A765" s="131" t="s">
        <v>41</v>
      </c>
      <c r="B765" s="131">
        <v>1</v>
      </c>
    </row>
    <row r="766" spans="1:2" x14ac:dyDescent="0.25">
      <c r="A766" s="131" t="s">
        <v>10</v>
      </c>
      <c r="B766" s="131">
        <v>1</v>
      </c>
    </row>
    <row r="767" spans="1:2" x14ac:dyDescent="0.25">
      <c r="A767" s="131" t="s">
        <v>43</v>
      </c>
      <c r="B767" s="131">
        <v>1</v>
      </c>
    </row>
    <row r="768" spans="1:2" x14ac:dyDescent="0.25">
      <c r="A768" s="131" t="s">
        <v>76</v>
      </c>
      <c r="B768" s="131">
        <v>1</v>
      </c>
    </row>
    <row r="769" spans="1:2" x14ac:dyDescent="0.25">
      <c r="A769" s="131" t="s">
        <v>74</v>
      </c>
      <c r="B769" s="131">
        <v>1</v>
      </c>
    </row>
    <row r="770" spans="1:2" x14ac:dyDescent="0.25">
      <c r="A770" s="131" t="s">
        <v>43</v>
      </c>
      <c r="B770" s="131">
        <v>1</v>
      </c>
    </row>
    <row r="771" spans="1:2" x14ac:dyDescent="0.25">
      <c r="A771" s="131" t="s">
        <v>89</v>
      </c>
      <c r="B771" s="131">
        <v>1</v>
      </c>
    </row>
    <row r="772" spans="1:2" x14ac:dyDescent="0.25">
      <c r="A772" s="131" t="s">
        <v>47</v>
      </c>
      <c r="B772" s="131">
        <v>1</v>
      </c>
    </row>
    <row r="773" spans="1:2" x14ac:dyDescent="0.25">
      <c r="A773" s="131" t="s">
        <v>47</v>
      </c>
      <c r="B773" s="131">
        <v>1</v>
      </c>
    </row>
    <row r="774" spans="1:2" x14ac:dyDescent="0.25">
      <c r="A774" s="131" t="s">
        <v>78</v>
      </c>
      <c r="B774" s="131">
        <v>1</v>
      </c>
    </row>
    <row r="775" spans="1:2" x14ac:dyDescent="0.25">
      <c r="A775" s="131" t="s">
        <v>50</v>
      </c>
      <c r="B775" s="131">
        <v>1</v>
      </c>
    </row>
    <row r="776" spans="1:2" x14ac:dyDescent="0.25">
      <c r="A776" s="131" t="s">
        <v>50</v>
      </c>
      <c r="B776" s="131">
        <v>1</v>
      </c>
    </row>
    <row r="777" spans="1:2" x14ac:dyDescent="0.25">
      <c r="A777" s="131" t="s">
        <v>50</v>
      </c>
      <c r="B777" s="131">
        <v>1</v>
      </c>
    </row>
    <row r="778" spans="1:2" x14ac:dyDescent="0.25">
      <c r="A778" s="131" t="s">
        <v>93</v>
      </c>
      <c r="B778" s="131">
        <v>1</v>
      </c>
    </row>
    <row r="779" spans="1:2" x14ac:dyDescent="0.25">
      <c r="A779" s="131" t="s">
        <v>87</v>
      </c>
      <c r="B779" s="131">
        <v>1</v>
      </c>
    </row>
    <row r="780" spans="1:2" x14ac:dyDescent="0.25">
      <c r="A780" s="131" t="s">
        <v>84</v>
      </c>
      <c r="B780" s="131">
        <v>1</v>
      </c>
    </row>
    <row r="781" spans="1:2" x14ac:dyDescent="0.25">
      <c r="A781" s="131" t="s">
        <v>47</v>
      </c>
      <c r="B781" s="131">
        <v>1</v>
      </c>
    </row>
    <row r="782" spans="1:2" x14ac:dyDescent="0.25">
      <c r="A782" s="131" t="s">
        <v>74</v>
      </c>
      <c r="B782" s="131">
        <v>1</v>
      </c>
    </row>
    <row r="783" spans="1:2" x14ac:dyDescent="0.25">
      <c r="A783" s="131" t="s">
        <v>29</v>
      </c>
      <c r="B783" s="131">
        <v>1</v>
      </c>
    </row>
    <row r="784" spans="1:2" x14ac:dyDescent="0.25">
      <c r="A784" s="131" t="s">
        <v>78</v>
      </c>
      <c r="B784" s="131">
        <v>1</v>
      </c>
    </row>
    <row r="785" spans="1:2" x14ac:dyDescent="0.25">
      <c r="A785" s="131" t="s">
        <v>46</v>
      </c>
      <c r="B785" s="131">
        <v>1</v>
      </c>
    </row>
    <row r="786" spans="1:2" x14ac:dyDescent="0.25">
      <c r="A786" s="131" t="s">
        <v>71</v>
      </c>
      <c r="B786" s="131">
        <v>1</v>
      </c>
    </row>
    <row r="787" spans="1:2" x14ac:dyDescent="0.25">
      <c r="A787" s="131" t="s">
        <v>62</v>
      </c>
      <c r="B787" s="131">
        <v>1</v>
      </c>
    </row>
    <row r="788" spans="1:2" x14ac:dyDescent="0.25">
      <c r="A788" s="131" t="s">
        <v>58</v>
      </c>
      <c r="B788" s="131">
        <v>1</v>
      </c>
    </row>
    <row r="789" spans="1:2" x14ac:dyDescent="0.25">
      <c r="A789" s="131" t="s">
        <v>82</v>
      </c>
      <c r="B789" s="131">
        <v>1</v>
      </c>
    </row>
    <row r="790" spans="1:2" x14ac:dyDescent="0.25">
      <c r="A790" s="131" t="s">
        <v>78</v>
      </c>
      <c r="B790" s="131">
        <v>1</v>
      </c>
    </row>
    <row r="791" spans="1:2" x14ac:dyDescent="0.25">
      <c r="A791" s="131" t="s">
        <v>48</v>
      </c>
      <c r="B791" s="131">
        <v>1</v>
      </c>
    </row>
    <row r="792" spans="1:2" x14ac:dyDescent="0.25">
      <c r="A792" s="131" t="s">
        <v>48</v>
      </c>
      <c r="B792" s="131">
        <v>1</v>
      </c>
    </row>
    <row r="793" spans="1:2" x14ac:dyDescent="0.25">
      <c r="A793" s="131" t="s">
        <v>82</v>
      </c>
      <c r="B793" s="131">
        <v>1</v>
      </c>
    </row>
    <row r="794" spans="1:2" x14ac:dyDescent="0.25">
      <c r="A794" s="131" t="s">
        <v>76</v>
      </c>
      <c r="B794" s="131">
        <v>1</v>
      </c>
    </row>
    <row r="795" spans="1:2" x14ac:dyDescent="0.25">
      <c r="A795" s="131" t="s">
        <v>71</v>
      </c>
      <c r="B795" s="131">
        <v>1</v>
      </c>
    </row>
    <row r="796" spans="1:2" x14ac:dyDescent="0.25">
      <c r="A796" s="131" t="s">
        <v>58</v>
      </c>
      <c r="B796" s="131">
        <v>1</v>
      </c>
    </row>
    <row r="797" spans="1:2" x14ac:dyDescent="0.25">
      <c r="A797" s="131" t="s">
        <v>78</v>
      </c>
      <c r="B797" s="131">
        <v>1</v>
      </c>
    </row>
    <row r="798" spans="1:2" x14ac:dyDescent="0.25">
      <c r="A798" s="131" t="s">
        <v>10</v>
      </c>
      <c r="B798" s="131">
        <v>1</v>
      </c>
    </row>
    <row r="799" spans="1:2" x14ac:dyDescent="0.25">
      <c r="A799" s="131" t="s">
        <v>46</v>
      </c>
      <c r="B799" s="131">
        <v>1</v>
      </c>
    </row>
    <row r="800" spans="1:2" x14ac:dyDescent="0.25">
      <c r="A800" s="131" t="s">
        <v>10</v>
      </c>
      <c r="B800" s="131">
        <v>1</v>
      </c>
    </row>
    <row r="801" spans="1:2" x14ac:dyDescent="0.25">
      <c r="A801" s="131" t="s">
        <v>10</v>
      </c>
      <c r="B801" s="131">
        <v>1</v>
      </c>
    </row>
    <row r="802" spans="1:2" x14ac:dyDescent="0.25">
      <c r="A802" s="131" t="s">
        <v>43</v>
      </c>
      <c r="B802" s="131">
        <v>1</v>
      </c>
    </row>
    <row r="803" spans="1:2" x14ac:dyDescent="0.25">
      <c r="A803" s="131" t="s">
        <v>10</v>
      </c>
      <c r="B803" s="131">
        <v>1</v>
      </c>
    </row>
    <row r="804" spans="1:2" x14ac:dyDescent="0.25">
      <c r="A804" s="131" t="s">
        <v>46</v>
      </c>
      <c r="B804" s="131">
        <v>1</v>
      </c>
    </row>
    <row r="805" spans="1:2" x14ac:dyDescent="0.25">
      <c r="A805" s="131" t="s">
        <v>68</v>
      </c>
      <c r="B805" s="131">
        <v>1</v>
      </c>
    </row>
    <row r="806" spans="1:2" x14ac:dyDescent="0.25">
      <c r="A806" s="131" t="s">
        <v>74</v>
      </c>
      <c r="B806" s="131">
        <v>1</v>
      </c>
    </row>
    <row r="807" spans="1:2" x14ac:dyDescent="0.25">
      <c r="A807" s="131" t="s">
        <v>74</v>
      </c>
      <c r="B807" s="131">
        <v>1</v>
      </c>
    </row>
    <row r="808" spans="1:2" x14ac:dyDescent="0.25">
      <c r="A808" s="131" t="s">
        <v>58</v>
      </c>
      <c r="B808" s="131">
        <v>1</v>
      </c>
    </row>
    <row r="809" spans="1:2" x14ac:dyDescent="0.25">
      <c r="A809" s="131" t="s">
        <v>86</v>
      </c>
      <c r="B809" s="131">
        <v>1</v>
      </c>
    </row>
    <row r="810" spans="1:2" x14ac:dyDescent="0.25">
      <c r="A810" s="131" t="s">
        <v>93</v>
      </c>
      <c r="B810" s="131">
        <v>1</v>
      </c>
    </row>
    <row r="811" spans="1:2" x14ac:dyDescent="0.25">
      <c r="A811" s="131" t="s">
        <v>72</v>
      </c>
      <c r="B811" s="131">
        <v>1</v>
      </c>
    </row>
    <row r="812" spans="1:2" x14ac:dyDescent="0.25">
      <c r="A812" s="131" t="s">
        <v>47</v>
      </c>
      <c r="B812" s="131">
        <v>1</v>
      </c>
    </row>
    <row r="813" spans="1:2" x14ac:dyDescent="0.25">
      <c r="A813" s="131" t="s">
        <v>47</v>
      </c>
      <c r="B813" s="131">
        <v>1</v>
      </c>
    </row>
    <row r="814" spans="1:2" x14ac:dyDescent="0.25">
      <c r="A814" s="131" t="s">
        <v>47</v>
      </c>
      <c r="B814" s="131">
        <v>1</v>
      </c>
    </row>
    <row r="815" spans="1:2" x14ac:dyDescent="0.25">
      <c r="A815" s="131" t="s">
        <v>74</v>
      </c>
      <c r="B815" s="131">
        <v>1</v>
      </c>
    </row>
    <row r="816" spans="1:2" x14ac:dyDescent="0.25">
      <c r="A816" s="131" t="s">
        <v>93</v>
      </c>
      <c r="B816" s="131">
        <v>1</v>
      </c>
    </row>
    <row r="817" spans="1:2" x14ac:dyDescent="0.25">
      <c r="A817" s="131" t="s">
        <v>93</v>
      </c>
      <c r="B817" s="131">
        <v>1</v>
      </c>
    </row>
    <row r="818" spans="1:2" x14ac:dyDescent="0.25">
      <c r="A818" s="131" t="s">
        <v>46</v>
      </c>
      <c r="B818" s="131">
        <v>1</v>
      </c>
    </row>
    <row r="819" spans="1:2" x14ac:dyDescent="0.25">
      <c r="A819" s="131" t="s">
        <v>76</v>
      </c>
      <c r="B819" s="131">
        <v>1</v>
      </c>
    </row>
    <row r="820" spans="1:2" x14ac:dyDescent="0.25">
      <c r="A820" s="131" t="s">
        <v>60</v>
      </c>
      <c r="B820" s="131">
        <v>1</v>
      </c>
    </row>
    <row r="821" spans="1:2" x14ac:dyDescent="0.25">
      <c r="A821" s="131" t="s">
        <v>55</v>
      </c>
      <c r="B821" s="131">
        <v>1</v>
      </c>
    </row>
    <row r="822" spans="1:2" x14ac:dyDescent="0.25">
      <c r="A822" s="131" t="s">
        <v>74</v>
      </c>
      <c r="B822" s="131">
        <v>1</v>
      </c>
    </row>
    <row r="823" spans="1:2" x14ac:dyDescent="0.25">
      <c r="A823" s="131" t="s">
        <v>87</v>
      </c>
      <c r="B823" s="131">
        <v>1</v>
      </c>
    </row>
    <row r="824" spans="1:2" x14ac:dyDescent="0.25">
      <c r="A824" s="131" t="s">
        <v>48</v>
      </c>
      <c r="B824" s="131">
        <v>1</v>
      </c>
    </row>
    <row r="825" spans="1:2" x14ac:dyDescent="0.25">
      <c r="A825" s="131" t="s">
        <v>41</v>
      </c>
      <c r="B825" s="131">
        <v>1</v>
      </c>
    </row>
    <row r="826" spans="1:2" x14ac:dyDescent="0.25">
      <c r="A826" s="131" t="s">
        <v>41</v>
      </c>
      <c r="B826" s="131">
        <v>1</v>
      </c>
    </row>
    <row r="827" spans="1:2" x14ac:dyDescent="0.25">
      <c r="A827" s="131" t="s">
        <v>41</v>
      </c>
      <c r="B827" s="131">
        <v>1</v>
      </c>
    </row>
    <row r="828" spans="1:2" x14ac:dyDescent="0.25">
      <c r="A828" s="131" t="s">
        <v>60</v>
      </c>
      <c r="B828" s="131">
        <v>1</v>
      </c>
    </row>
    <row r="829" spans="1:2" x14ac:dyDescent="0.25">
      <c r="A829" s="131" t="s">
        <v>43</v>
      </c>
      <c r="B829" s="131">
        <v>1</v>
      </c>
    </row>
    <row r="830" spans="1:2" x14ac:dyDescent="0.25">
      <c r="A830" s="131" t="s">
        <v>48</v>
      </c>
      <c r="B830" s="131">
        <v>1</v>
      </c>
    </row>
    <row r="831" spans="1:2" x14ac:dyDescent="0.25">
      <c r="A831" s="131" t="s">
        <v>89</v>
      </c>
      <c r="B831" s="131">
        <v>1</v>
      </c>
    </row>
    <row r="832" spans="1:2" x14ac:dyDescent="0.25">
      <c r="A832" s="131" t="s">
        <v>74</v>
      </c>
      <c r="B832" s="131">
        <v>1</v>
      </c>
    </row>
    <row r="833" spans="1:2" x14ac:dyDescent="0.25">
      <c r="A833" s="131" t="s">
        <v>74</v>
      </c>
      <c r="B833" s="131">
        <v>1</v>
      </c>
    </row>
    <row r="834" spans="1:2" x14ac:dyDescent="0.25">
      <c r="A834" s="131" t="s">
        <v>47</v>
      </c>
      <c r="B834" s="131">
        <v>1</v>
      </c>
    </row>
    <row r="835" spans="1:2" x14ac:dyDescent="0.25">
      <c r="A835" s="131" t="s">
        <v>58</v>
      </c>
      <c r="B835" s="131">
        <v>1</v>
      </c>
    </row>
    <row r="836" spans="1:2" x14ac:dyDescent="0.25">
      <c r="A836" s="131" t="s">
        <v>43</v>
      </c>
      <c r="B836" s="131">
        <v>1</v>
      </c>
    </row>
    <row r="837" spans="1:2" x14ac:dyDescent="0.25">
      <c r="A837" s="131" t="s">
        <v>33</v>
      </c>
      <c r="B837" s="131">
        <v>1</v>
      </c>
    </row>
    <row r="838" spans="1:2" x14ac:dyDescent="0.25">
      <c r="A838" s="131" t="s">
        <v>82</v>
      </c>
      <c r="B838" s="131">
        <v>1</v>
      </c>
    </row>
    <row r="839" spans="1:2" x14ac:dyDescent="0.25">
      <c r="A839" s="131" t="s">
        <v>78</v>
      </c>
      <c r="B839" s="131">
        <v>1</v>
      </c>
    </row>
    <row r="840" spans="1:2" x14ac:dyDescent="0.25">
      <c r="A840" s="131" t="s">
        <v>43</v>
      </c>
      <c r="B840" s="131">
        <v>1</v>
      </c>
    </row>
    <row r="841" spans="1:2" x14ac:dyDescent="0.25">
      <c r="A841" s="131" t="s">
        <v>48</v>
      </c>
      <c r="B841" s="131">
        <v>1</v>
      </c>
    </row>
    <row r="842" spans="1:2" x14ac:dyDescent="0.25">
      <c r="A842" s="131" t="s">
        <v>74</v>
      </c>
      <c r="B842" s="131">
        <v>1</v>
      </c>
    </row>
    <row r="843" spans="1:2" x14ac:dyDescent="0.25">
      <c r="A843" s="131" t="s">
        <v>53</v>
      </c>
      <c r="B843" s="131">
        <v>1</v>
      </c>
    </row>
    <row r="844" spans="1:2" x14ac:dyDescent="0.25">
      <c r="A844" s="131" t="s">
        <v>53</v>
      </c>
      <c r="B844" s="131">
        <v>1</v>
      </c>
    </row>
    <row r="845" spans="1:2" x14ac:dyDescent="0.25">
      <c r="A845" s="131" t="s">
        <v>60</v>
      </c>
      <c r="B845" s="131">
        <v>1</v>
      </c>
    </row>
    <row r="846" spans="1:2" x14ac:dyDescent="0.25">
      <c r="A846" s="131" t="s">
        <v>43</v>
      </c>
      <c r="B846" s="131">
        <v>1</v>
      </c>
    </row>
    <row r="847" spans="1:2" x14ac:dyDescent="0.25">
      <c r="A847" s="131" t="s">
        <v>74</v>
      </c>
      <c r="B847" s="131">
        <v>1</v>
      </c>
    </row>
    <row r="848" spans="1:2" x14ac:dyDescent="0.25">
      <c r="A848" s="131" t="s">
        <v>74</v>
      </c>
      <c r="B848" s="131">
        <v>1</v>
      </c>
    </row>
    <row r="849" spans="1:2" x14ac:dyDescent="0.25">
      <c r="A849" s="131" t="s">
        <v>84</v>
      </c>
      <c r="B849" s="131">
        <v>1</v>
      </c>
    </row>
    <row r="850" spans="1:2" x14ac:dyDescent="0.25">
      <c r="A850" s="131" t="s">
        <v>43</v>
      </c>
      <c r="B850" s="131">
        <v>1</v>
      </c>
    </row>
    <row r="851" spans="1:2" x14ac:dyDescent="0.25">
      <c r="A851" s="131" t="s">
        <v>76</v>
      </c>
      <c r="B851" s="131">
        <v>1</v>
      </c>
    </row>
    <row r="852" spans="1:2" x14ac:dyDescent="0.25">
      <c r="A852" s="131" t="s">
        <v>76</v>
      </c>
      <c r="B852" s="131">
        <v>1</v>
      </c>
    </row>
    <row r="853" spans="1:2" x14ac:dyDescent="0.25">
      <c r="A853" s="131" t="s">
        <v>76</v>
      </c>
      <c r="B853" s="131">
        <v>1</v>
      </c>
    </row>
    <row r="854" spans="1:2" x14ac:dyDescent="0.25">
      <c r="A854" s="131" t="s">
        <v>43</v>
      </c>
      <c r="B854" s="131">
        <v>1</v>
      </c>
    </row>
    <row r="855" spans="1:2" x14ac:dyDescent="0.25">
      <c r="A855" s="131" t="s">
        <v>43</v>
      </c>
      <c r="B855" s="131">
        <v>1</v>
      </c>
    </row>
    <row r="856" spans="1:2" x14ac:dyDescent="0.25">
      <c r="A856" s="131" t="s">
        <v>43</v>
      </c>
      <c r="B856" s="131">
        <v>1</v>
      </c>
    </row>
    <row r="857" spans="1:2" x14ac:dyDescent="0.25">
      <c r="A857" s="131" t="s">
        <v>74</v>
      </c>
      <c r="B857" s="131">
        <v>1</v>
      </c>
    </row>
    <row r="858" spans="1:2" x14ac:dyDescent="0.25">
      <c r="A858" s="131" t="s">
        <v>82</v>
      </c>
      <c r="B858" s="131">
        <v>1</v>
      </c>
    </row>
    <row r="859" spans="1:2" x14ac:dyDescent="0.25">
      <c r="A859" s="131" t="s">
        <v>84</v>
      </c>
      <c r="B859" s="131">
        <v>1</v>
      </c>
    </row>
    <row r="860" spans="1:2" x14ac:dyDescent="0.25">
      <c r="A860" s="131" t="s">
        <v>50</v>
      </c>
      <c r="B860" s="131">
        <v>1</v>
      </c>
    </row>
    <row r="861" spans="1:2" x14ac:dyDescent="0.25">
      <c r="A861" s="131" t="s">
        <v>50</v>
      </c>
      <c r="B861" s="131">
        <v>1</v>
      </c>
    </row>
    <row r="862" spans="1:2" x14ac:dyDescent="0.25">
      <c r="A862" s="131" t="s">
        <v>89</v>
      </c>
      <c r="B862" s="131">
        <v>1</v>
      </c>
    </row>
    <row r="863" spans="1:2" x14ac:dyDescent="0.25">
      <c r="A863" s="131" t="s">
        <v>45</v>
      </c>
      <c r="B863" s="131">
        <v>1</v>
      </c>
    </row>
    <row r="864" spans="1:2" x14ac:dyDescent="0.25">
      <c r="A864" s="131" t="s">
        <v>55</v>
      </c>
      <c r="B864" s="131">
        <v>1</v>
      </c>
    </row>
    <row r="865" spans="1:2" x14ac:dyDescent="0.25">
      <c r="A865" s="131" t="s">
        <v>89</v>
      </c>
      <c r="B865" s="131">
        <v>1</v>
      </c>
    </row>
    <row r="866" spans="1:2" x14ac:dyDescent="0.25">
      <c r="A866" s="131" t="s">
        <v>46</v>
      </c>
      <c r="B866" s="131">
        <v>1</v>
      </c>
    </row>
    <row r="867" spans="1:2" x14ac:dyDescent="0.25">
      <c r="A867" s="131" t="s">
        <v>74</v>
      </c>
      <c r="B867" s="131">
        <v>1</v>
      </c>
    </row>
    <row r="868" spans="1:2" x14ac:dyDescent="0.25">
      <c r="A868" s="131" t="s">
        <v>43</v>
      </c>
      <c r="B868" s="131">
        <v>1</v>
      </c>
    </row>
    <row r="869" spans="1:2" x14ac:dyDescent="0.25">
      <c r="A869" s="131" t="s">
        <v>74</v>
      </c>
      <c r="B869" s="131">
        <v>1</v>
      </c>
    </row>
    <row r="870" spans="1:2" x14ac:dyDescent="0.25">
      <c r="A870" s="131" t="s">
        <v>60</v>
      </c>
      <c r="B870" s="131">
        <v>1</v>
      </c>
    </row>
    <row r="871" spans="1:2" x14ac:dyDescent="0.25">
      <c r="A871" s="131" t="s">
        <v>10</v>
      </c>
      <c r="B871" s="131">
        <v>1</v>
      </c>
    </row>
    <row r="872" spans="1:2" x14ac:dyDescent="0.25">
      <c r="A872" s="131" t="s">
        <v>55</v>
      </c>
      <c r="B872" s="131">
        <v>1</v>
      </c>
    </row>
    <row r="873" spans="1:2" x14ac:dyDescent="0.25">
      <c r="A873" s="131" t="s">
        <v>47</v>
      </c>
      <c r="B873" s="131">
        <v>1</v>
      </c>
    </row>
    <row r="874" spans="1:2" x14ac:dyDescent="0.25">
      <c r="A874" s="131" t="s">
        <v>10</v>
      </c>
      <c r="B874" s="131">
        <v>1</v>
      </c>
    </row>
    <row r="875" spans="1:2" x14ac:dyDescent="0.25">
      <c r="A875" s="131" t="s">
        <v>76</v>
      </c>
      <c r="B875" s="131">
        <v>1</v>
      </c>
    </row>
    <row r="876" spans="1:2" x14ac:dyDescent="0.25">
      <c r="A876" s="131" t="s">
        <v>74</v>
      </c>
      <c r="B876" s="131">
        <v>1</v>
      </c>
    </row>
    <row r="877" spans="1:2" x14ac:dyDescent="0.25">
      <c r="A877" s="131" t="s">
        <v>43</v>
      </c>
      <c r="B877" s="131">
        <v>1</v>
      </c>
    </row>
    <row r="878" spans="1:2" x14ac:dyDescent="0.25">
      <c r="A878" s="131" t="s">
        <v>10</v>
      </c>
      <c r="B878" s="131">
        <v>1</v>
      </c>
    </row>
    <row r="879" spans="1:2" x14ac:dyDescent="0.25">
      <c r="A879" s="131" t="s">
        <v>82</v>
      </c>
      <c r="B879" s="131">
        <v>1</v>
      </c>
    </row>
    <row r="880" spans="1:2" x14ac:dyDescent="0.25">
      <c r="A880" s="131" t="s">
        <v>43</v>
      </c>
      <c r="B880" s="131">
        <v>1</v>
      </c>
    </row>
    <row r="881" spans="1:2" x14ac:dyDescent="0.25">
      <c r="A881" s="131" t="s">
        <v>41</v>
      </c>
      <c r="B881" s="131">
        <v>1</v>
      </c>
    </row>
    <row r="882" spans="1:2" x14ac:dyDescent="0.25">
      <c r="A882" s="131" t="s">
        <v>29</v>
      </c>
      <c r="B882" s="131">
        <v>1</v>
      </c>
    </row>
    <row r="883" spans="1:2" x14ac:dyDescent="0.25">
      <c r="A883" s="131" t="s">
        <v>10</v>
      </c>
      <c r="B883" s="131">
        <v>1</v>
      </c>
    </row>
    <row r="884" spans="1:2" x14ac:dyDescent="0.25">
      <c r="A884" s="131" t="s">
        <v>74</v>
      </c>
      <c r="B884" s="131">
        <v>1</v>
      </c>
    </row>
    <row r="885" spans="1:2" x14ac:dyDescent="0.25">
      <c r="A885" s="131" t="s">
        <v>74</v>
      </c>
      <c r="B885" s="131">
        <v>1</v>
      </c>
    </row>
    <row r="886" spans="1:2" x14ac:dyDescent="0.25">
      <c r="A886" s="131" t="s">
        <v>10</v>
      </c>
      <c r="B886" s="131">
        <v>1</v>
      </c>
    </row>
    <row r="887" spans="1:2" x14ac:dyDescent="0.25">
      <c r="A887" s="131" t="s">
        <v>74</v>
      </c>
      <c r="B887" s="131">
        <v>1</v>
      </c>
    </row>
    <row r="888" spans="1:2" x14ac:dyDescent="0.25">
      <c r="A888" s="131" t="s">
        <v>50</v>
      </c>
      <c r="B888" s="131">
        <v>1</v>
      </c>
    </row>
    <row r="889" spans="1:2" x14ac:dyDescent="0.25">
      <c r="A889" s="131" t="s">
        <v>60</v>
      </c>
      <c r="B889" s="131">
        <v>1</v>
      </c>
    </row>
    <row r="890" spans="1:2" x14ac:dyDescent="0.25">
      <c r="A890" s="131" t="s">
        <v>60</v>
      </c>
      <c r="B890" s="131">
        <v>1</v>
      </c>
    </row>
    <row r="891" spans="1:2" x14ac:dyDescent="0.25">
      <c r="A891" s="131" t="s">
        <v>91</v>
      </c>
      <c r="B891" s="131">
        <v>1</v>
      </c>
    </row>
    <row r="892" spans="1:2" x14ac:dyDescent="0.25">
      <c r="A892" s="131" t="s">
        <v>43</v>
      </c>
      <c r="B892" s="131">
        <v>-1</v>
      </c>
    </row>
    <row r="893" spans="1:2" x14ac:dyDescent="0.25">
      <c r="A893" s="131" t="s">
        <v>47</v>
      </c>
      <c r="B893" s="131">
        <v>1</v>
      </c>
    </row>
    <row r="894" spans="1:2" x14ac:dyDescent="0.25">
      <c r="A894" s="131" t="s">
        <v>50</v>
      </c>
      <c r="B894" s="131">
        <v>1</v>
      </c>
    </row>
    <row r="895" spans="1:2" x14ac:dyDescent="0.25">
      <c r="A895" s="131" t="s">
        <v>74</v>
      </c>
      <c r="B895" s="131">
        <v>1</v>
      </c>
    </row>
    <row r="896" spans="1:2" x14ac:dyDescent="0.25">
      <c r="A896" s="131" t="s">
        <v>74</v>
      </c>
      <c r="B896" s="131">
        <v>1</v>
      </c>
    </row>
    <row r="897" spans="1:2" x14ac:dyDescent="0.25">
      <c r="A897" s="131" t="s">
        <v>74</v>
      </c>
      <c r="B897" s="131">
        <v>1</v>
      </c>
    </row>
    <row r="898" spans="1:2" x14ac:dyDescent="0.25">
      <c r="A898" s="131" t="s">
        <v>84</v>
      </c>
      <c r="B898" s="131">
        <v>1</v>
      </c>
    </row>
    <row r="899" spans="1:2" x14ac:dyDescent="0.25">
      <c r="A899" s="131" t="s">
        <v>84</v>
      </c>
      <c r="B899" s="131">
        <v>1</v>
      </c>
    </row>
    <row r="900" spans="1:2" x14ac:dyDescent="0.25">
      <c r="A900" s="131" t="s">
        <v>76</v>
      </c>
      <c r="B900" s="131">
        <v>1</v>
      </c>
    </row>
    <row r="901" spans="1:2" x14ac:dyDescent="0.25">
      <c r="A901" s="131" t="s">
        <v>10</v>
      </c>
      <c r="B901" s="131">
        <v>1</v>
      </c>
    </row>
    <row r="902" spans="1:2" x14ac:dyDescent="0.25">
      <c r="A902" s="131" t="s">
        <v>33</v>
      </c>
      <c r="B902" s="131">
        <v>1</v>
      </c>
    </row>
    <row r="903" spans="1:2" x14ac:dyDescent="0.25">
      <c r="A903" s="131" t="s">
        <v>76</v>
      </c>
      <c r="B903" s="131">
        <v>1</v>
      </c>
    </row>
    <row r="904" spans="1:2" x14ac:dyDescent="0.25">
      <c r="A904" s="131" t="s">
        <v>84</v>
      </c>
      <c r="B904" s="131">
        <v>1</v>
      </c>
    </row>
    <row r="905" spans="1:2" x14ac:dyDescent="0.25">
      <c r="A905" s="131" t="s">
        <v>10</v>
      </c>
      <c r="B905" s="131">
        <v>1</v>
      </c>
    </row>
    <row r="906" spans="1:2" x14ac:dyDescent="0.25">
      <c r="A906" s="131" t="s">
        <v>50</v>
      </c>
      <c r="B906" s="131">
        <v>1</v>
      </c>
    </row>
    <row r="907" spans="1:2" x14ac:dyDescent="0.25">
      <c r="A907" s="131" t="s">
        <v>36</v>
      </c>
      <c r="B907" s="131">
        <v>1</v>
      </c>
    </row>
    <row r="908" spans="1:2" x14ac:dyDescent="0.25">
      <c r="A908" s="131" t="s">
        <v>84</v>
      </c>
      <c r="B908" s="131">
        <v>1</v>
      </c>
    </row>
    <row r="909" spans="1:2" x14ac:dyDescent="0.25">
      <c r="A909" s="131" t="s">
        <v>84</v>
      </c>
      <c r="B909" s="131">
        <v>1</v>
      </c>
    </row>
    <row r="910" spans="1:2" x14ac:dyDescent="0.25">
      <c r="A910" s="131" t="s">
        <v>47</v>
      </c>
      <c r="B910" s="131">
        <v>1</v>
      </c>
    </row>
    <row r="911" spans="1:2" x14ac:dyDescent="0.25">
      <c r="A911" s="131" t="s">
        <v>47</v>
      </c>
      <c r="B911" s="131">
        <v>1</v>
      </c>
    </row>
    <row r="912" spans="1:2" x14ac:dyDescent="0.25">
      <c r="A912" s="131" t="s">
        <v>93</v>
      </c>
      <c r="B912" s="131">
        <v>1</v>
      </c>
    </row>
    <row r="913" spans="1:2" x14ac:dyDescent="0.25">
      <c r="A913" s="131" t="s">
        <v>93</v>
      </c>
      <c r="B913" s="131">
        <v>1</v>
      </c>
    </row>
    <row r="914" spans="1:2" x14ac:dyDescent="0.25">
      <c r="A914" s="131" t="s">
        <v>47</v>
      </c>
      <c r="B914" s="131">
        <v>1</v>
      </c>
    </row>
    <row r="915" spans="1:2" x14ac:dyDescent="0.25">
      <c r="A915" s="131" t="s">
        <v>84</v>
      </c>
      <c r="B915" s="131">
        <v>1</v>
      </c>
    </row>
    <row r="916" spans="1:2" x14ac:dyDescent="0.25">
      <c r="A916" s="131" t="s">
        <v>69</v>
      </c>
      <c r="B916" s="131">
        <v>1</v>
      </c>
    </row>
    <row r="917" spans="1:2" x14ac:dyDescent="0.25">
      <c r="A917" s="131" t="s">
        <v>45</v>
      </c>
      <c r="B917" s="131">
        <v>1</v>
      </c>
    </row>
    <row r="918" spans="1:2" x14ac:dyDescent="0.25">
      <c r="A918" s="131" t="s">
        <v>43</v>
      </c>
      <c r="B918" s="131">
        <v>1</v>
      </c>
    </row>
    <row r="919" spans="1:2" x14ac:dyDescent="0.25">
      <c r="A919" s="131" t="s">
        <v>82</v>
      </c>
      <c r="B919" s="131">
        <v>1</v>
      </c>
    </row>
    <row r="920" spans="1:2" x14ac:dyDescent="0.25">
      <c r="A920" s="131" t="s">
        <v>48</v>
      </c>
      <c r="B920" s="131">
        <v>1</v>
      </c>
    </row>
    <row r="921" spans="1:2" x14ac:dyDescent="0.25">
      <c r="A921" s="131" t="s">
        <v>74</v>
      </c>
      <c r="B921" s="131">
        <v>1</v>
      </c>
    </row>
    <row r="922" spans="1:2" x14ac:dyDescent="0.25">
      <c r="A922" s="131" t="s">
        <v>74</v>
      </c>
      <c r="B922" s="131">
        <v>1</v>
      </c>
    </row>
    <row r="923" spans="1:2" x14ac:dyDescent="0.25">
      <c r="A923" s="131" t="s">
        <v>50</v>
      </c>
      <c r="B923" s="131">
        <v>1</v>
      </c>
    </row>
    <row r="924" spans="1:2" x14ac:dyDescent="0.25">
      <c r="A924" s="131" t="s">
        <v>93</v>
      </c>
      <c r="B924" s="131">
        <v>1</v>
      </c>
    </row>
    <row r="925" spans="1:2" x14ac:dyDescent="0.25">
      <c r="A925" s="131" t="s">
        <v>55</v>
      </c>
      <c r="B925" s="131">
        <v>1</v>
      </c>
    </row>
    <row r="926" spans="1:2" x14ac:dyDescent="0.25">
      <c r="A926" s="131" t="s">
        <v>60</v>
      </c>
      <c r="B926" s="131">
        <v>1</v>
      </c>
    </row>
    <row r="927" spans="1:2" x14ac:dyDescent="0.25">
      <c r="A927" s="131" t="s">
        <v>43</v>
      </c>
      <c r="B927" s="131">
        <v>1</v>
      </c>
    </row>
    <row r="928" spans="1:2" x14ac:dyDescent="0.25">
      <c r="A928" s="131" t="s">
        <v>10</v>
      </c>
      <c r="B928" s="131">
        <v>1</v>
      </c>
    </row>
    <row r="929" spans="1:2" x14ac:dyDescent="0.25">
      <c r="A929" s="131" t="s">
        <v>58</v>
      </c>
      <c r="B929" s="131">
        <v>1</v>
      </c>
    </row>
    <row r="930" spans="1:2" x14ac:dyDescent="0.25">
      <c r="A930" s="131" t="s">
        <v>58</v>
      </c>
      <c r="B930" s="131">
        <v>1</v>
      </c>
    </row>
    <row r="931" spans="1:2" x14ac:dyDescent="0.25">
      <c r="A931" s="131" t="s">
        <v>10</v>
      </c>
      <c r="B931" s="131">
        <v>1</v>
      </c>
    </row>
    <row r="932" spans="1:2" x14ac:dyDescent="0.25">
      <c r="A932" s="131" t="s">
        <v>74</v>
      </c>
      <c r="B932" s="131">
        <v>1</v>
      </c>
    </row>
    <row r="933" spans="1:2" x14ac:dyDescent="0.25">
      <c r="A933" s="131" t="s">
        <v>84</v>
      </c>
      <c r="B933" s="131">
        <v>1</v>
      </c>
    </row>
    <row r="934" spans="1:2" x14ac:dyDescent="0.25">
      <c r="A934" s="131" t="s">
        <v>76</v>
      </c>
      <c r="B934" s="131">
        <v>1</v>
      </c>
    </row>
    <row r="935" spans="1:2" x14ac:dyDescent="0.25">
      <c r="A935" s="131" t="s">
        <v>60</v>
      </c>
      <c r="B935" s="131">
        <v>1</v>
      </c>
    </row>
    <row r="936" spans="1:2" x14ac:dyDescent="0.25">
      <c r="A936" s="131" t="s">
        <v>60</v>
      </c>
      <c r="B936" s="131">
        <v>1</v>
      </c>
    </row>
    <row r="937" spans="1:2" x14ac:dyDescent="0.25">
      <c r="A937" s="131" t="s">
        <v>76</v>
      </c>
      <c r="B937" s="131">
        <v>1</v>
      </c>
    </row>
    <row r="938" spans="1:2" x14ac:dyDescent="0.25">
      <c r="A938" s="131" t="s">
        <v>74</v>
      </c>
      <c r="B938" s="131">
        <v>1</v>
      </c>
    </row>
    <row r="939" spans="1:2" x14ac:dyDescent="0.25">
      <c r="A939" s="131" t="s">
        <v>29</v>
      </c>
      <c r="B939" s="131">
        <v>1</v>
      </c>
    </row>
    <row r="940" spans="1:2" x14ac:dyDescent="0.25">
      <c r="A940" s="131" t="s">
        <v>74</v>
      </c>
      <c r="B940" s="131">
        <v>1</v>
      </c>
    </row>
    <row r="941" spans="1:2" x14ac:dyDescent="0.25">
      <c r="A941" s="131" t="s">
        <v>84</v>
      </c>
      <c r="B941" s="131">
        <v>1</v>
      </c>
    </row>
    <row r="942" spans="1:2" x14ac:dyDescent="0.25">
      <c r="A942" s="131" t="s">
        <v>41</v>
      </c>
      <c r="B942" s="131">
        <v>1</v>
      </c>
    </row>
    <row r="943" spans="1:2" x14ac:dyDescent="0.25">
      <c r="A943" s="131" t="s">
        <v>91</v>
      </c>
      <c r="B943" s="131">
        <v>1</v>
      </c>
    </row>
    <row r="944" spans="1:2" x14ac:dyDescent="0.25">
      <c r="A944" s="131" t="s">
        <v>47</v>
      </c>
      <c r="B944" s="131">
        <v>1</v>
      </c>
    </row>
    <row r="945" spans="1:2" x14ac:dyDescent="0.25">
      <c r="A945" s="131" t="s">
        <v>47</v>
      </c>
      <c r="B945" s="131">
        <v>1</v>
      </c>
    </row>
    <row r="946" spans="1:2" x14ac:dyDescent="0.25">
      <c r="A946" s="131" t="s">
        <v>74</v>
      </c>
      <c r="B946" s="131">
        <v>1</v>
      </c>
    </row>
    <row r="947" spans="1:2" x14ac:dyDescent="0.25">
      <c r="A947" s="131" t="s">
        <v>74</v>
      </c>
      <c r="B947" s="131">
        <v>1</v>
      </c>
    </row>
    <row r="948" spans="1:2" x14ac:dyDescent="0.25">
      <c r="A948" s="131" t="s">
        <v>47</v>
      </c>
      <c r="B948" s="131">
        <v>1</v>
      </c>
    </row>
    <row r="949" spans="1:2" x14ac:dyDescent="0.25">
      <c r="A949" s="131" t="s">
        <v>53</v>
      </c>
      <c r="B949" s="131">
        <v>1</v>
      </c>
    </row>
    <row r="950" spans="1:2" x14ac:dyDescent="0.25">
      <c r="A950" s="131" t="s">
        <v>99</v>
      </c>
      <c r="B950" s="131">
        <v>1</v>
      </c>
    </row>
    <row r="951" spans="1:2" x14ac:dyDescent="0.25">
      <c r="A951" s="131" t="s">
        <v>74</v>
      </c>
      <c r="B951" s="131">
        <v>1</v>
      </c>
    </row>
    <row r="952" spans="1:2" x14ac:dyDescent="0.25">
      <c r="A952" s="131" t="s">
        <v>64</v>
      </c>
      <c r="B952" s="131">
        <v>1</v>
      </c>
    </row>
    <row r="953" spans="1:2" x14ac:dyDescent="0.25">
      <c r="A953" s="131" t="s">
        <v>10</v>
      </c>
      <c r="B953" s="131">
        <v>1</v>
      </c>
    </row>
    <row r="954" spans="1:2" x14ac:dyDescent="0.25">
      <c r="A954" s="131" t="s">
        <v>10</v>
      </c>
      <c r="B954" s="131">
        <v>1</v>
      </c>
    </row>
    <row r="955" spans="1:2" x14ac:dyDescent="0.25">
      <c r="A955" s="131" t="s">
        <v>84</v>
      </c>
      <c r="B955" s="131">
        <v>2</v>
      </c>
    </row>
    <row r="956" spans="1:2" x14ac:dyDescent="0.25">
      <c r="A956" s="131" t="s">
        <v>29</v>
      </c>
      <c r="B956" s="131">
        <v>1</v>
      </c>
    </row>
    <row r="957" spans="1:2" x14ac:dyDescent="0.25">
      <c r="A957" s="131" t="s">
        <v>48</v>
      </c>
      <c r="B957" s="131">
        <v>1</v>
      </c>
    </row>
    <row r="958" spans="1:2" x14ac:dyDescent="0.25">
      <c r="A958" s="131" t="s">
        <v>82</v>
      </c>
      <c r="B958" s="131">
        <v>1</v>
      </c>
    </row>
    <row r="959" spans="1:2" x14ac:dyDescent="0.25">
      <c r="A959" s="131" t="s">
        <v>64</v>
      </c>
      <c r="B959" s="131">
        <v>1</v>
      </c>
    </row>
    <row r="960" spans="1:2" x14ac:dyDescent="0.25">
      <c r="A960" s="131" t="s">
        <v>84</v>
      </c>
      <c r="B960" s="131">
        <v>1</v>
      </c>
    </row>
    <row r="961" spans="1:2" x14ac:dyDescent="0.25">
      <c r="A961" s="131" t="s">
        <v>47</v>
      </c>
      <c r="B961" s="131">
        <v>1</v>
      </c>
    </row>
    <row r="962" spans="1:2" x14ac:dyDescent="0.25">
      <c r="A962" s="131" t="s">
        <v>47</v>
      </c>
      <c r="B962" s="131">
        <v>1</v>
      </c>
    </row>
    <row r="963" spans="1:2" x14ac:dyDescent="0.25">
      <c r="A963" s="131" t="s">
        <v>93</v>
      </c>
      <c r="B963" s="131">
        <v>1</v>
      </c>
    </row>
    <row r="964" spans="1:2" x14ac:dyDescent="0.25">
      <c r="A964" s="131" t="s">
        <v>74</v>
      </c>
      <c r="B964" s="131">
        <v>1</v>
      </c>
    </row>
    <row r="965" spans="1:2" x14ac:dyDescent="0.25">
      <c r="A965" s="131" t="s">
        <v>60</v>
      </c>
      <c r="B965" s="131">
        <v>1</v>
      </c>
    </row>
    <row r="966" spans="1:2" x14ac:dyDescent="0.25">
      <c r="A966" s="131" t="s">
        <v>60</v>
      </c>
      <c r="B966" s="131">
        <v>1</v>
      </c>
    </row>
    <row r="967" spans="1:2" x14ac:dyDescent="0.25">
      <c r="A967" s="131" t="s">
        <v>93</v>
      </c>
      <c r="B967" s="131">
        <v>1</v>
      </c>
    </row>
    <row r="968" spans="1:2" x14ac:dyDescent="0.25">
      <c r="A968" s="131" t="s">
        <v>93</v>
      </c>
      <c r="B968" s="131">
        <v>1</v>
      </c>
    </row>
    <row r="969" spans="1:2" x14ac:dyDescent="0.25">
      <c r="A969" s="131" t="s">
        <v>10</v>
      </c>
      <c r="B969" s="131">
        <v>1</v>
      </c>
    </row>
    <row r="970" spans="1:2" x14ac:dyDescent="0.25">
      <c r="A970" s="131" t="s">
        <v>48</v>
      </c>
      <c r="B970" s="131">
        <v>1</v>
      </c>
    </row>
    <row r="971" spans="1:2" x14ac:dyDescent="0.25">
      <c r="A971" s="131" t="s">
        <v>48</v>
      </c>
      <c r="B971" s="131">
        <v>1</v>
      </c>
    </row>
    <row r="972" spans="1:2" x14ac:dyDescent="0.25">
      <c r="A972" s="131" t="s">
        <v>10</v>
      </c>
      <c r="B972" s="131">
        <v>1</v>
      </c>
    </row>
    <row r="973" spans="1:2" x14ac:dyDescent="0.25">
      <c r="A973" s="131" t="s">
        <v>10</v>
      </c>
      <c r="B973" s="131">
        <v>1</v>
      </c>
    </row>
    <row r="974" spans="1:2" x14ac:dyDescent="0.25">
      <c r="A974" s="131" t="s">
        <v>76</v>
      </c>
      <c r="B974" s="131">
        <v>1</v>
      </c>
    </row>
    <row r="975" spans="1:2" x14ac:dyDescent="0.25">
      <c r="A975" s="131" t="s">
        <v>10</v>
      </c>
      <c r="B975" s="131">
        <v>1</v>
      </c>
    </row>
    <row r="976" spans="1:2" x14ac:dyDescent="0.25">
      <c r="A976" s="131" t="s">
        <v>10</v>
      </c>
      <c r="B976" s="131">
        <v>1</v>
      </c>
    </row>
    <row r="977" spans="1:2" x14ac:dyDescent="0.25">
      <c r="A977" s="131" t="s">
        <v>10</v>
      </c>
      <c r="B977" s="131">
        <v>1</v>
      </c>
    </row>
    <row r="978" spans="1:2" x14ac:dyDescent="0.25">
      <c r="A978" s="131" t="s">
        <v>43</v>
      </c>
      <c r="B978" s="131">
        <v>1</v>
      </c>
    </row>
    <row r="979" spans="1:2" x14ac:dyDescent="0.25">
      <c r="A979" s="131" t="s">
        <v>29</v>
      </c>
      <c r="B979" s="131">
        <v>1</v>
      </c>
    </row>
    <row r="980" spans="1:2" x14ac:dyDescent="0.25">
      <c r="A980" s="131" t="s">
        <v>47</v>
      </c>
      <c r="B980" s="131">
        <v>1</v>
      </c>
    </row>
    <row r="981" spans="1:2" x14ac:dyDescent="0.25">
      <c r="A981" s="131" t="s">
        <v>69</v>
      </c>
      <c r="B981" s="131">
        <v>1</v>
      </c>
    </row>
    <row r="982" spans="1:2" x14ac:dyDescent="0.25">
      <c r="A982" s="131" t="s">
        <v>76</v>
      </c>
      <c r="B982" s="131">
        <v>1</v>
      </c>
    </row>
    <row r="983" spans="1:2" x14ac:dyDescent="0.25">
      <c r="A983" s="131" t="s">
        <v>74</v>
      </c>
      <c r="B983" s="131">
        <v>1</v>
      </c>
    </row>
    <row r="984" spans="1:2" x14ac:dyDescent="0.25">
      <c r="A984" s="131" t="s">
        <v>93</v>
      </c>
      <c r="B984" s="131">
        <v>1</v>
      </c>
    </row>
    <row r="985" spans="1:2" x14ac:dyDescent="0.25">
      <c r="A985" s="131" t="s">
        <v>82</v>
      </c>
      <c r="B985" s="131">
        <v>1</v>
      </c>
    </row>
    <row r="986" spans="1:2" x14ac:dyDescent="0.25">
      <c r="A986" s="131" t="s">
        <v>60</v>
      </c>
      <c r="B986" s="131">
        <v>1</v>
      </c>
    </row>
    <row r="987" spans="1:2" x14ac:dyDescent="0.25">
      <c r="A987" s="131" t="s">
        <v>41</v>
      </c>
      <c r="B987" s="131">
        <v>1</v>
      </c>
    </row>
    <row r="988" spans="1:2" x14ac:dyDescent="0.25">
      <c r="A988" s="131" t="s">
        <v>41</v>
      </c>
      <c r="B988" s="131">
        <v>1</v>
      </c>
    </row>
    <row r="989" spans="1:2" x14ac:dyDescent="0.25">
      <c r="A989" s="131" t="s">
        <v>74</v>
      </c>
      <c r="B989" s="131">
        <v>1</v>
      </c>
    </row>
    <row r="990" spans="1:2" x14ac:dyDescent="0.25">
      <c r="A990" s="131" t="s">
        <v>89</v>
      </c>
      <c r="B990" s="131">
        <v>1</v>
      </c>
    </row>
    <row r="991" spans="1:2" x14ac:dyDescent="0.25">
      <c r="A991" s="131" t="s">
        <v>10</v>
      </c>
      <c r="B991" s="131">
        <v>1</v>
      </c>
    </row>
    <row r="992" spans="1:2" x14ac:dyDescent="0.25">
      <c r="A992" s="131" t="s">
        <v>10</v>
      </c>
      <c r="B992" s="131">
        <v>1</v>
      </c>
    </row>
    <row r="993" spans="1:2" x14ac:dyDescent="0.25">
      <c r="A993" s="131" t="s">
        <v>60</v>
      </c>
      <c r="B993" s="131">
        <v>1</v>
      </c>
    </row>
    <row r="994" spans="1:2" x14ac:dyDescent="0.25">
      <c r="A994" s="131" t="s">
        <v>33</v>
      </c>
      <c r="B994" s="131">
        <v>1</v>
      </c>
    </row>
    <row r="995" spans="1:2" x14ac:dyDescent="0.25">
      <c r="A995" s="131" t="s">
        <v>46</v>
      </c>
      <c r="B995" s="131">
        <v>1</v>
      </c>
    </row>
    <row r="996" spans="1:2" x14ac:dyDescent="0.25">
      <c r="A996" s="131" t="s">
        <v>86</v>
      </c>
      <c r="B996" s="131">
        <v>1</v>
      </c>
    </row>
    <row r="997" spans="1:2" x14ac:dyDescent="0.25">
      <c r="A997" s="131" t="s">
        <v>33</v>
      </c>
      <c r="B997" s="131">
        <v>1</v>
      </c>
    </row>
    <row r="998" spans="1:2" x14ac:dyDescent="0.25">
      <c r="A998" s="131" t="s">
        <v>86</v>
      </c>
      <c r="B998" s="131">
        <v>1</v>
      </c>
    </row>
    <row r="999" spans="1:2" x14ac:dyDescent="0.25">
      <c r="A999" s="131" t="s">
        <v>86</v>
      </c>
      <c r="B999" s="131">
        <v>1</v>
      </c>
    </row>
    <row r="1000" spans="1:2" x14ac:dyDescent="0.25">
      <c r="A1000" s="131" t="s">
        <v>64</v>
      </c>
      <c r="B1000" s="131">
        <v>1</v>
      </c>
    </row>
    <row r="1001" spans="1:2" x14ac:dyDescent="0.25">
      <c r="A1001" s="131" t="s">
        <v>43</v>
      </c>
      <c r="B1001" s="131">
        <v>1</v>
      </c>
    </row>
    <row r="1002" spans="1:2" x14ac:dyDescent="0.25">
      <c r="A1002" s="131" t="s">
        <v>41</v>
      </c>
      <c r="B1002" s="131">
        <v>1</v>
      </c>
    </row>
    <row r="1003" spans="1:2" x14ac:dyDescent="0.25">
      <c r="A1003" s="131" t="s">
        <v>60</v>
      </c>
      <c r="B1003" s="131">
        <v>1</v>
      </c>
    </row>
    <row r="1004" spans="1:2" x14ac:dyDescent="0.25">
      <c r="A1004" s="131" t="s">
        <v>60</v>
      </c>
      <c r="B1004" s="131">
        <v>1</v>
      </c>
    </row>
    <row r="1005" spans="1:2" x14ac:dyDescent="0.25">
      <c r="A1005" s="131" t="s">
        <v>62</v>
      </c>
      <c r="B1005" s="131">
        <v>1</v>
      </c>
    </row>
    <row r="1006" spans="1:2" x14ac:dyDescent="0.25">
      <c r="A1006" s="131" t="s">
        <v>89</v>
      </c>
      <c r="B1006" s="131">
        <v>1</v>
      </c>
    </row>
    <row r="1007" spans="1:2" x14ac:dyDescent="0.25">
      <c r="A1007" s="131" t="s">
        <v>76</v>
      </c>
      <c r="B1007" s="131">
        <v>1</v>
      </c>
    </row>
    <row r="1008" spans="1:2" x14ac:dyDescent="0.25">
      <c r="A1008" s="131" t="s">
        <v>87</v>
      </c>
      <c r="B1008" s="131">
        <v>1</v>
      </c>
    </row>
    <row r="1009" spans="1:2" x14ac:dyDescent="0.25">
      <c r="A1009" s="131" t="s">
        <v>76</v>
      </c>
      <c r="B1009" s="131">
        <v>1</v>
      </c>
    </row>
    <row r="1010" spans="1:2" x14ac:dyDescent="0.25">
      <c r="A1010" s="131" t="s">
        <v>50</v>
      </c>
      <c r="B1010" s="131">
        <v>1</v>
      </c>
    </row>
    <row r="1011" spans="1:2" x14ac:dyDescent="0.25">
      <c r="A1011" s="131" t="s">
        <v>60</v>
      </c>
      <c r="B1011" s="131">
        <v>1</v>
      </c>
    </row>
    <row r="1012" spans="1:2" x14ac:dyDescent="0.25">
      <c r="A1012" s="131" t="s">
        <v>50</v>
      </c>
      <c r="B1012" s="131">
        <v>1</v>
      </c>
    </row>
    <row r="1013" spans="1:2" x14ac:dyDescent="0.25">
      <c r="A1013" s="131" t="s">
        <v>89</v>
      </c>
      <c r="B1013" s="131">
        <v>1</v>
      </c>
    </row>
    <row r="1014" spans="1:2" x14ac:dyDescent="0.25">
      <c r="A1014" s="131" t="s">
        <v>45</v>
      </c>
      <c r="B1014" s="131">
        <v>-1</v>
      </c>
    </row>
    <row r="1015" spans="1:2" x14ac:dyDescent="0.25">
      <c r="A1015" s="131" t="s">
        <v>45</v>
      </c>
      <c r="B1015" s="131">
        <v>1</v>
      </c>
    </row>
    <row r="1016" spans="1:2" x14ac:dyDescent="0.25">
      <c r="A1016" s="131" t="s">
        <v>89</v>
      </c>
      <c r="B1016" s="131">
        <v>1</v>
      </c>
    </row>
    <row r="1017" spans="1:2" x14ac:dyDescent="0.25">
      <c r="A1017" s="131" t="s">
        <v>50</v>
      </c>
      <c r="B1017" s="131">
        <v>1</v>
      </c>
    </row>
    <row r="1018" spans="1:2" x14ac:dyDescent="0.25">
      <c r="A1018" s="131" t="s">
        <v>60</v>
      </c>
      <c r="B1018" s="131">
        <v>1</v>
      </c>
    </row>
    <row r="1019" spans="1:2" x14ac:dyDescent="0.25">
      <c r="A1019" s="131" t="s">
        <v>45</v>
      </c>
      <c r="B1019" s="131">
        <v>1</v>
      </c>
    </row>
    <row r="1020" spans="1:2" x14ac:dyDescent="0.25">
      <c r="A1020" s="131" t="s">
        <v>41</v>
      </c>
      <c r="B1020" s="131">
        <v>1</v>
      </c>
    </row>
    <row r="1021" spans="1:2" x14ac:dyDescent="0.25">
      <c r="A1021" s="131" t="s">
        <v>76</v>
      </c>
      <c r="B1021" s="131">
        <v>1</v>
      </c>
    </row>
    <row r="1022" spans="1:2" x14ac:dyDescent="0.25">
      <c r="A1022" s="131" t="s">
        <v>41</v>
      </c>
      <c r="B1022" s="131">
        <v>1</v>
      </c>
    </row>
    <row r="1023" spans="1:2" x14ac:dyDescent="0.25">
      <c r="A1023" s="131" t="s">
        <v>74</v>
      </c>
      <c r="B1023" s="131">
        <v>1</v>
      </c>
    </row>
    <row r="1024" spans="1:2" x14ac:dyDescent="0.25">
      <c r="A1024" s="131" t="s">
        <v>10</v>
      </c>
      <c r="B1024" s="131">
        <v>1</v>
      </c>
    </row>
    <row r="1025" spans="1:2" x14ac:dyDescent="0.25">
      <c r="A1025" s="131" t="s">
        <v>55</v>
      </c>
      <c r="B1025" s="131">
        <v>1</v>
      </c>
    </row>
    <row r="1026" spans="1:2" x14ac:dyDescent="0.25">
      <c r="A1026" s="131" t="s">
        <v>47</v>
      </c>
      <c r="B1026" s="131">
        <v>1</v>
      </c>
    </row>
    <row r="1027" spans="1:2" x14ac:dyDescent="0.25">
      <c r="A1027" s="131" t="s">
        <v>33</v>
      </c>
      <c r="B1027" s="131">
        <v>1</v>
      </c>
    </row>
    <row r="1028" spans="1:2" x14ac:dyDescent="0.25">
      <c r="A1028" s="131" t="s">
        <v>95</v>
      </c>
      <c r="B1028" s="131">
        <v>1</v>
      </c>
    </row>
    <row r="1029" spans="1:2" x14ac:dyDescent="0.25">
      <c r="A1029" s="131" t="s">
        <v>50</v>
      </c>
      <c r="B1029" s="131">
        <v>1</v>
      </c>
    </row>
    <row r="1030" spans="1:2" x14ac:dyDescent="0.25">
      <c r="A1030" s="131" t="s">
        <v>86</v>
      </c>
      <c r="B1030" s="131">
        <v>1</v>
      </c>
    </row>
    <row r="1031" spans="1:2" x14ac:dyDescent="0.25">
      <c r="A1031" s="131" t="s">
        <v>74</v>
      </c>
      <c r="B1031" s="131">
        <v>1</v>
      </c>
    </row>
    <row r="1032" spans="1:2" x14ac:dyDescent="0.25">
      <c r="A1032" s="131" t="s">
        <v>29</v>
      </c>
      <c r="B1032" s="131">
        <v>1</v>
      </c>
    </row>
    <row r="1033" spans="1:2" x14ac:dyDescent="0.25">
      <c r="A1033" s="131" t="s">
        <v>41</v>
      </c>
      <c r="B1033" s="131">
        <v>1</v>
      </c>
    </row>
    <row r="1034" spans="1:2" x14ac:dyDescent="0.25">
      <c r="A1034" s="131" t="s">
        <v>43</v>
      </c>
      <c r="B1034" s="131">
        <v>1</v>
      </c>
    </row>
    <row r="1035" spans="1:2" x14ac:dyDescent="0.25">
      <c r="A1035" s="131" t="s">
        <v>43</v>
      </c>
      <c r="B1035" s="131">
        <v>1</v>
      </c>
    </row>
    <row r="1036" spans="1:2" x14ac:dyDescent="0.25">
      <c r="A1036" s="131" t="s">
        <v>46</v>
      </c>
      <c r="B1036" s="131">
        <v>1</v>
      </c>
    </row>
    <row r="1037" spans="1:2" x14ac:dyDescent="0.25">
      <c r="A1037" s="131" t="s">
        <v>53</v>
      </c>
      <c r="B1037" s="131">
        <v>1</v>
      </c>
    </row>
    <row r="1038" spans="1:2" x14ac:dyDescent="0.25">
      <c r="A1038" s="131" t="s">
        <v>46</v>
      </c>
      <c r="B1038" s="131">
        <v>1</v>
      </c>
    </row>
    <row r="1039" spans="1:2" x14ac:dyDescent="0.25">
      <c r="A1039" s="131" t="s">
        <v>76</v>
      </c>
      <c r="B1039" s="131">
        <v>1</v>
      </c>
    </row>
    <row r="1040" spans="1:2" x14ac:dyDescent="0.25">
      <c r="A1040" s="131" t="s">
        <v>74</v>
      </c>
      <c r="B1040" s="131">
        <v>1</v>
      </c>
    </row>
    <row r="1041" spans="1:2" x14ac:dyDescent="0.25">
      <c r="A1041" s="131" t="s">
        <v>60</v>
      </c>
      <c r="B1041" s="131">
        <v>1</v>
      </c>
    </row>
    <row r="1042" spans="1:2" x14ac:dyDescent="0.25">
      <c r="A1042" s="131" t="s">
        <v>33</v>
      </c>
      <c r="B1042" s="131">
        <v>1</v>
      </c>
    </row>
    <row r="1043" spans="1:2" x14ac:dyDescent="0.25">
      <c r="A1043" s="131" t="s">
        <v>82</v>
      </c>
      <c r="B1043" s="131">
        <v>1</v>
      </c>
    </row>
    <row r="1044" spans="1:2" x14ac:dyDescent="0.25">
      <c r="A1044" s="131" t="s">
        <v>82</v>
      </c>
      <c r="B1044" s="131">
        <v>1</v>
      </c>
    </row>
    <row r="1045" spans="1:2" x14ac:dyDescent="0.25">
      <c r="A1045" s="131" t="s">
        <v>10</v>
      </c>
      <c r="B1045" s="131">
        <v>1</v>
      </c>
    </row>
    <row r="1046" spans="1:2" x14ac:dyDescent="0.25">
      <c r="A1046" s="131" t="s">
        <v>74</v>
      </c>
      <c r="B1046" s="131">
        <v>1</v>
      </c>
    </row>
    <row r="1047" spans="1:2" x14ac:dyDescent="0.25">
      <c r="A1047" s="131" t="s">
        <v>74</v>
      </c>
      <c r="B1047" s="131">
        <v>1</v>
      </c>
    </row>
    <row r="1048" spans="1:2" x14ac:dyDescent="0.25">
      <c r="A1048" s="131" t="s">
        <v>10</v>
      </c>
      <c r="B1048" s="131">
        <v>1</v>
      </c>
    </row>
    <row r="1049" spans="1:2" x14ac:dyDescent="0.25">
      <c r="A1049" s="131" t="s">
        <v>97</v>
      </c>
      <c r="B1049" s="131">
        <v>1</v>
      </c>
    </row>
    <row r="1050" spans="1:2" x14ac:dyDescent="0.25">
      <c r="A1050" s="131" t="s">
        <v>78</v>
      </c>
      <c r="B1050" s="131">
        <v>1</v>
      </c>
    </row>
    <row r="1051" spans="1:2" x14ac:dyDescent="0.25">
      <c r="A1051" s="131" t="s">
        <v>64</v>
      </c>
      <c r="B1051" s="131">
        <v>1</v>
      </c>
    </row>
    <row r="1052" spans="1:2" x14ac:dyDescent="0.25">
      <c r="A1052" s="131" t="s">
        <v>74</v>
      </c>
      <c r="B1052" s="131">
        <v>1</v>
      </c>
    </row>
    <row r="1053" spans="1:2" x14ac:dyDescent="0.25">
      <c r="A1053" s="131" t="s">
        <v>76</v>
      </c>
      <c r="B1053" s="131">
        <v>1</v>
      </c>
    </row>
    <row r="1054" spans="1:2" x14ac:dyDescent="0.25">
      <c r="A1054" s="131" t="s">
        <v>50</v>
      </c>
      <c r="B1054" s="131">
        <v>1</v>
      </c>
    </row>
    <row r="1055" spans="1:2" x14ac:dyDescent="0.25">
      <c r="A1055" s="131" t="s">
        <v>74</v>
      </c>
      <c r="B1055" s="131">
        <v>1</v>
      </c>
    </row>
    <row r="1056" spans="1:2" x14ac:dyDescent="0.25">
      <c r="A1056" s="131" t="s">
        <v>41</v>
      </c>
      <c r="B1056" s="131">
        <v>1</v>
      </c>
    </row>
    <row r="1057" spans="1:2" x14ac:dyDescent="0.25">
      <c r="A1057" s="131" t="s">
        <v>36</v>
      </c>
      <c r="B1057" s="131">
        <v>1</v>
      </c>
    </row>
    <row r="1058" spans="1:2" x14ac:dyDescent="0.25">
      <c r="A1058" s="131" t="s">
        <v>74</v>
      </c>
      <c r="B1058" s="131">
        <v>1</v>
      </c>
    </row>
    <row r="1059" spans="1:2" x14ac:dyDescent="0.25">
      <c r="A1059" s="131" t="s">
        <v>46</v>
      </c>
      <c r="B1059" s="131">
        <v>1</v>
      </c>
    </row>
    <row r="1060" spans="1:2" x14ac:dyDescent="0.25">
      <c r="A1060" s="131" t="s">
        <v>55</v>
      </c>
      <c r="B1060" s="131">
        <v>1</v>
      </c>
    </row>
    <row r="1061" spans="1:2" x14ac:dyDescent="0.25">
      <c r="A1061" s="131" t="s">
        <v>60</v>
      </c>
      <c r="B1061" s="131">
        <v>1</v>
      </c>
    </row>
    <row r="1062" spans="1:2" x14ac:dyDescent="0.25">
      <c r="A1062" s="131" t="s">
        <v>29</v>
      </c>
      <c r="B1062" s="131">
        <v>1</v>
      </c>
    </row>
    <row r="1063" spans="1:2" x14ac:dyDescent="0.25">
      <c r="A1063" s="131" t="s">
        <v>76</v>
      </c>
      <c r="B1063" s="131">
        <v>1</v>
      </c>
    </row>
    <row r="1064" spans="1:2" x14ac:dyDescent="0.25">
      <c r="A1064" s="131" t="s">
        <v>93</v>
      </c>
      <c r="B1064" s="131">
        <v>1</v>
      </c>
    </row>
    <row r="1065" spans="1:2" x14ac:dyDescent="0.25">
      <c r="A1065" s="131" t="s">
        <v>10</v>
      </c>
      <c r="B1065" s="131">
        <v>1</v>
      </c>
    </row>
    <row r="1066" spans="1:2" x14ac:dyDescent="0.25">
      <c r="A1066" s="131" t="s">
        <v>36</v>
      </c>
      <c r="B1066" s="131">
        <v>1</v>
      </c>
    </row>
    <row r="1067" spans="1:2" x14ac:dyDescent="0.25">
      <c r="A1067" s="131" t="s">
        <v>29</v>
      </c>
      <c r="B1067" s="131">
        <v>1</v>
      </c>
    </row>
    <row r="1068" spans="1:2" x14ac:dyDescent="0.25">
      <c r="A1068" s="131" t="s">
        <v>46</v>
      </c>
      <c r="B1068" s="131">
        <v>1</v>
      </c>
    </row>
    <row r="1069" spans="1:2" x14ac:dyDescent="0.25">
      <c r="A1069" s="131" t="s">
        <v>76</v>
      </c>
      <c r="B1069" s="131">
        <v>1</v>
      </c>
    </row>
    <row r="1070" spans="1:2" x14ac:dyDescent="0.25">
      <c r="A1070" s="131" t="s">
        <v>76</v>
      </c>
      <c r="B1070" s="131">
        <v>1</v>
      </c>
    </row>
    <row r="1071" spans="1:2" x14ac:dyDescent="0.25">
      <c r="A1071" s="131" t="s">
        <v>82</v>
      </c>
      <c r="B1071" s="131">
        <v>1</v>
      </c>
    </row>
    <row r="1072" spans="1:2" x14ac:dyDescent="0.25">
      <c r="A1072" s="131" t="s">
        <v>58</v>
      </c>
      <c r="B1072" s="131">
        <v>1</v>
      </c>
    </row>
    <row r="1073" spans="1:2" x14ac:dyDescent="0.25">
      <c r="A1073" s="131" t="s">
        <v>91</v>
      </c>
      <c r="B1073" s="131">
        <v>1</v>
      </c>
    </row>
    <row r="1074" spans="1:2" x14ac:dyDescent="0.25">
      <c r="A1074" s="131" t="s">
        <v>91</v>
      </c>
      <c r="B1074" s="131">
        <v>1</v>
      </c>
    </row>
    <row r="1075" spans="1:2" x14ac:dyDescent="0.25">
      <c r="A1075" s="131" t="s">
        <v>43</v>
      </c>
      <c r="B1075" s="131">
        <v>1</v>
      </c>
    </row>
    <row r="1076" spans="1:2" x14ac:dyDescent="0.25">
      <c r="A1076" s="131" t="s">
        <v>43</v>
      </c>
      <c r="B1076" s="131">
        <v>1</v>
      </c>
    </row>
    <row r="1077" spans="1:2" x14ac:dyDescent="0.25">
      <c r="A1077" s="131" t="s">
        <v>93</v>
      </c>
      <c r="B1077" s="131">
        <v>1</v>
      </c>
    </row>
    <row r="1078" spans="1:2" x14ac:dyDescent="0.25">
      <c r="A1078" s="131" t="s">
        <v>93</v>
      </c>
      <c r="B1078" s="131">
        <v>1</v>
      </c>
    </row>
    <row r="1079" spans="1:2" x14ac:dyDescent="0.25">
      <c r="A1079" s="131" t="s">
        <v>46</v>
      </c>
      <c r="B1079" s="131">
        <v>1</v>
      </c>
    </row>
    <row r="1080" spans="1:2" x14ac:dyDescent="0.25">
      <c r="A1080" s="131" t="s">
        <v>47</v>
      </c>
      <c r="B1080" s="131">
        <v>1</v>
      </c>
    </row>
    <row r="1081" spans="1:2" x14ac:dyDescent="0.25">
      <c r="A1081" s="131" t="s">
        <v>89</v>
      </c>
      <c r="B1081" s="131">
        <v>1</v>
      </c>
    </row>
    <row r="1082" spans="1:2" x14ac:dyDescent="0.25">
      <c r="A1082" s="131" t="s">
        <v>50</v>
      </c>
      <c r="B1082" s="131">
        <v>1</v>
      </c>
    </row>
    <row r="1083" spans="1:2" x14ac:dyDescent="0.25">
      <c r="A1083" s="131" t="s">
        <v>76</v>
      </c>
      <c r="B1083" s="131">
        <v>1</v>
      </c>
    </row>
    <row r="1084" spans="1:2" x14ac:dyDescent="0.25">
      <c r="A1084" s="131" t="s">
        <v>47</v>
      </c>
      <c r="B1084" s="131">
        <v>1</v>
      </c>
    </row>
    <row r="1085" spans="1:2" x14ac:dyDescent="0.25">
      <c r="A1085" s="131" t="s">
        <v>89</v>
      </c>
      <c r="B1085" s="131">
        <v>1</v>
      </c>
    </row>
    <row r="1086" spans="1:2" x14ac:dyDescent="0.25">
      <c r="A1086" s="131" t="s">
        <v>41</v>
      </c>
      <c r="B1086" s="131">
        <v>1</v>
      </c>
    </row>
    <row r="1087" spans="1:2" x14ac:dyDescent="0.25">
      <c r="A1087" s="131" t="s">
        <v>43</v>
      </c>
      <c r="B1087" s="131">
        <v>1</v>
      </c>
    </row>
    <row r="1088" spans="1:2" x14ac:dyDescent="0.25">
      <c r="A1088" s="131" t="s">
        <v>43</v>
      </c>
      <c r="B1088" s="131">
        <v>1</v>
      </c>
    </row>
    <row r="1089" spans="1:2" x14ac:dyDescent="0.25">
      <c r="A1089" s="131" t="s">
        <v>89</v>
      </c>
      <c r="B1089" s="131">
        <v>1</v>
      </c>
    </row>
    <row r="1090" spans="1:2" x14ac:dyDescent="0.25">
      <c r="A1090" s="131" t="s">
        <v>84</v>
      </c>
      <c r="B1090" s="131">
        <v>1</v>
      </c>
    </row>
    <row r="1091" spans="1:2" x14ac:dyDescent="0.25">
      <c r="A1091" s="131" t="s">
        <v>48</v>
      </c>
      <c r="B1091" s="131">
        <v>1</v>
      </c>
    </row>
    <row r="1092" spans="1:2" x14ac:dyDescent="0.25">
      <c r="A1092" s="131" t="s">
        <v>84</v>
      </c>
      <c r="B1092" s="131">
        <v>1</v>
      </c>
    </row>
    <row r="1093" spans="1:2" x14ac:dyDescent="0.25">
      <c r="A1093" s="131" t="s">
        <v>45</v>
      </c>
      <c r="B1093" s="131">
        <v>1</v>
      </c>
    </row>
    <row r="1094" spans="1:2" x14ac:dyDescent="0.25">
      <c r="A1094" s="131" t="s">
        <v>87</v>
      </c>
      <c r="B1094" s="131">
        <v>1</v>
      </c>
    </row>
    <row r="1095" spans="1:2" x14ac:dyDescent="0.25">
      <c r="A1095" s="131" t="s">
        <v>60</v>
      </c>
      <c r="B1095" s="131">
        <v>1</v>
      </c>
    </row>
    <row r="1096" spans="1:2" x14ac:dyDescent="0.25">
      <c r="A1096" s="131" t="s">
        <v>60</v>
      </c>
      <c r="B1096" s="131">
        <v>1</v>
      </c>
    </row>
    <row r="1097" spans="1:2" x14ac:dyDescent="0.25">
      <c r="A1097" s="131" t="s">
        <v>64</v>
      </c>
      <c r="B1097" s="131">
        <v>1</v>
      </c>
    </row>
    <row r="1098" spans="1:2" x14ac:dyDescent="0.25">
      <c r="A1098" s="131" t="s">
        <v>84</v>
      </c>
      <c r="B1098" s="131">
        <v>1</v>
      </c>
    </row>
    <row r="1099" spans="1:2" x14ac:dyDescent="0.25">
      <c r="A1099" s="131" t="s">
        <v>55</v>
      </c>
      <c r="B1099" s="131">
        <v>1</v>
      </c>
    </row>
    <row r="1100" spans="1:2" x14ac:dyDescent="0.25">
      <c r="A1100" s="131" t="s">
        <v>36</v>
      </c>
      <c r="B1100" s="131">
        <v>1</v>
      </c>
    </row>
    <row r="1101" spans="1:2" x14ac:dyDescent="0.25">
      <c r="A1101" s="131" t="s">
        <v>10</v>
      </c>
      <c r="B1101" s="131">
        <v>1</v>
      </c>
    </row>
    <row r="1102" spans="1:2" x14ac:dyDescent="0.25">
      <c r="A1102" s="131" t="s">
        <v>29</v>
      </c>
      <c r="B1102" s="131">
        <v>1</v>
      </c>
    </row>
    <row r="1103" spans="1:2" x14ac:dyDescent="0.25">
      <c r="A1103" s="131" t="s">
        <v>89</v>
      </c>
      <c r="B1103" s="131">
        <v>1</v>
      </c>
    </row>
    <row r="1104" spans="1:2" x14ac:dyDescent="0.25">
      <c r="A1104" s="131" t="s">
        <v>43</v>
      </c>
      <c r="B1104" s="131">
        <v>1</v>
      </c>
    </row>
    <row r="1105" spans="1:2" x14ac:dyDescent="0.25">
      <c r="A1105" s="131" t="s">
        <v>10</v>
      </c>
      <c r="B1105" s="131">
        <v>1</v>
      </c>
    </row>
    <row r="1106" spans="1:2" x14ac:dyDescent="0.25">
      <c r="A1106" s="131" t="s">
        <v>10</v>
      </c>
      <c r="B1106" s="131">
        <v>1</v>
      </c>
    </row>
    <row r="1107" spans="1:2" x14ac:dyDescent="0.25">
      <c r="A1107" s="131" t="s">
        <v>10</v>
      </c>
      <c r="B1107" s="131">
        <v>1</v>
      </c>
    </row>
    <row r="1108" spans="1:2" x14ac:dyDescent="0.25">
      <c r="A1108" s="131" t="s">
        <v>62</v>
      </c>
      <c r="B1108" s="131">
        <v>1</v>
      </c>
    </row>
    <row r="1109" spans="1:2" x14ac:dyDescent="0.25">
      <c r="A1109" s="131" t="s">
        <v>78</v>
      </c>
      <c r="B1109" s="131">
        <v>1</v>
      </c>
    </row>
    <row r="1110" spans="1:2" x14ac:dyDescent="0.25">
      <c r="A1110" s="131" t="s">
        <v>48</v>
      </c>
      <c r="B1110" s="131">
        <v>1</v>
      </c>
    </row>
    <row r="1111" spans="1:2" x14ac:dyDescent="0.25">
      <c r="A1111" s="131" t="s">
        <v>41</v>
      </c>
      <c r="B1111" s="131">
        <v>1</v>
      </c>
    </row>
    <row r="1112" spans="1:2" x14ac:dyDescent="0.25">
      <c r="A1112" s="131" t="s">
        <v>48</v>
      </c>
      <c r="B1112" s="131">
        <v>1</v>
      </c>
    </row>
    <row r="1113" spans="1:2" x14ac:dyDescent="0.25">
      <c r="A1113" s="131" t="s">
        <v>48</v>
      </c>
      <c r="B1113" s="131">
        <v>1</v>
      </c>
    </row>
    <row r="1114" spans="1:2" x14ac:dyDescent="0.25">
      <c r="A1114" s="131" t="s">
        <v>43</v>
      </c>
      <c r="B1114" s="131">
        <v>1</v>
      </c>
    </row>
    <row r="1115" spans="1:2" x14ac:dyDescent="0.25">
      <c r="A1115" s="131" t="s">
        <v>76</v>
      </c>
      <c r="B1115" s="131">
        <v>1</v>
      </c>
    </row>
    <row r="1116" spans="1:2" x14ac:dyDescent="0.25">
      <c r="A1116" s="131" t="s">
        <v>78</v>
      </c>
      <c r="B1116" s="131">
        <v>1</v>
      </c>
    </row>
    <row r="1117" spans="1:2" x14ac:dyDescent="0.25">
      <c r="A1117" s="131" t="s">
        <v>84</v>
      </c>
      <c r="B1117" s="131">
        <v>1</v>
      </c>
    </row>
    <row r="1118" spans="1:2" x14ac:dyDescent="0.25">
      <c r="A1118" s="131" t="s">
        <v>48</v>
      </c>
      <c r="B1118" s="131">
        <v>1</v>
      </c>
    </row>
    <row r="1119" spans="1:2" x14ac:dyDescent="0.25">
      <c r="A1119" s="131" t="s">
        <v>48</v>
      </c>
      <c r="B1119" s="131">
        <v>1</v>
      </c>
    </row>
    <row r="1120" spans="1:2" x14ac:dyDescent="0.25">
      <c r="A1120" s="131" t="s">
        <v>48</v>
      </c>
      <c r="B1120" s="131">
        <v>1</v>
      </c>
    </row>
    <row r="1121" spans="1:2" x14ac:dyDescent="0.25">
      <c r="A1121" s="131" t="s">
        <v>48</v>
      </c>
      <c r="B1121" s="131">
        <v>1</v>
      </c>
    </row>
    <row r="1122" spans="1:2" x14ac:dyDescent="0.25">
      <c r="A1122" s="131" t="s">
        <v>47</v>
      </c>
      <c r="B1122" s="131">
        <v>1</v>
      </c>
    </row>
    <row r="1123" spans="1:2" x14ac:dyDescent="0.25">
      <c r="A1123" s="131" t="s">
        <v>33</v>
      </c>
      <c r="B1123" s="131">
        <v>1</v>
      </c>
    </row>
    <row r="1124" spans="1:2" x14ac:dyDescent="0.25">
      <c r="A1124" s="131" t="s">
        <v>33</v>
      </c>
      <c r="B1124" s="131">
        <v>1</v>
      </c>
    </row>
    <row r="1125" spans="1:2" x14ac:dyDescent="0.25">
      <c r="A1125" s="131" t="s">
        <v>55</v>
      </c>
      <c r="B1125" s="131">
        <v>1</v>
      </c>
    </row>
    <row r="1126" spans="1:2" x14ac:dyDescent="0.25">
      <c r="A1126" s="131" t="s">
        <v>74</v>
      </c>
      <c r="B1126" s="131">
        <v>1</v>
      </c>
    </row>
    <row r="1127" spans="1:2" x14ac:dyDescent="0.25">
      <c r="A1127" s="131" t="s">
        <v>74</v>
      </c>
      <c r="B1127" s="131">
        <v>1</v>
      </c>
    </row>
    <row r="1128" spans="1:2" x14ac:dyDescent="0.25">
      <c r="A1128" s="131" t="s">
        <v>74</v>
      </c>
      <c r="B1128" s="131">
        <v>1</v>
      </c>
    </row>
    <row r="1129" spans="1:2" x14ac:dyDescent="0.25">
      <c r="A1129" s="131" t="s">
        <v>89</v>
      </c>
      <c r="B1129" s="131">
        <v>1</v>
      </c>
    </row>
    <row r="1130" spans="1:2" x14ac:dyDescent="0.25">
      <c r="A1130" s="131" t="s">
        <v>68</v>
      </c>
      <c r="B1130" s="131">
        <v>1</v>
      </c>
    </row>
    <row r="1131" spans="1:2" x14ac:dyDescent="0.25">
      <c r="A1131" s="131" t="s">
        <v>10</v>
      </c>
      <c r="B1131" s="131">
        <v>1</v>
      </c>
    </row>
    <row r="1132" spans="1:2" x14ac:dyDescent="0.25">
      <c r="A1132" s="131" t="s">
        <v>74</v>
      </c>
      <c r="B1132" s="131">
        <v>1</v>
      </c>
    </row>
    <row r="1133" spans="1:2" x14ac:dyDescent="0.25">
      <c r="A1133" s="131" t="s">
        <v>10</v>
      </c>
      <c r="B1133" s="131">
        <v>1</v>
      </c>
    </row>
    <row r="1134" spans="1:2" x14ac:dyDescent="0.25">
      <c r="A1134" s="131" t="s">
        <v>74</v>
      </c>
      <c r="B1134" s="131">
        <v>1</v>
      </c>
    </row>
    <row r="1135" spans="1:2" x14ac:dyDescent="0.25">
      <c r="A1135" s="131" t="s">
        <v>10</v>
      </c>
      <c r="B1135" s="131">
        <v>1</v>
      </c>
    </row>
    <row r="1136" spans="1:2" x14ac:dyDescent="0.25">
      <c r="A1136" s="131" t="s">
        <v>86</v>
      </c>
      <c r="B1136" s="131">
        <v>-1</v>
      </c>
    </row>
    <row r="1137" spans="1:2" x14ac:dyDescent="0.25">
      <c r="A1137" s="131" t="s">
        <v>86</v>
      </c>
      <c r="B1137" s="131">
        <v>-1</v>
      </c>
    </row>
    <row r="1138" spans="1:2" x14ac:dyDescent="0.25">
      <c r="A1138" s="131" t="s">
        <v>10</v>
      </c>
      <c r="B1138" s="131">
        <v>1</v>
      </c>
    </row>
    <row r="1139" spans="1:2" x14ac:dyDescent="0.25">
      <c r="A1139" s="131" t="s">
        <v>76</v>
      </c>
      <c r="B1139" s="131">
        <v>1</v>
      </c>
    </row>
    <row r="1140" spans="1:2" x14ac:dyDescent="0.25">
      <c r="A1140" s="131" t="s">
        <v>76</v>
      </c>
      <c r="B1140" s="131">
        <v>1</v>
      </c>
    </row>
    <row r="1141" spans="1:2" x14ac:dyDescent="0.25">
      <c r="A1141" s="131" t="s">
        <v>76</v>
      </c>
      <c r="B1141" s="131">
        <v>1</v>
      </c>
    </row>
    <row r="1142" spans="1:2" x14ac:dyDescent="0.25">
      <c r="A1142" s="131" t="s">
        <v>53</v>
      </c>
      <c r="B1142" s="131">
        <v>1</v>
      </c>
    </row>
    <row r="1143" spans="1:2" x14ac:dyDescent="0.25">
      <c r="A1143" s="131" t="s">
        <v>89</v>
      </c>
      <c r="B1143" s="131">
        <v>1</v>
      </c>
    </row>
    <row r="1144" spans="1:2" x14ac:dyDescent="0.25">
      <c r="A1144" s="131" t="s">
        <v>41</v>
      </c>
      <c r="B1144" s="131">
        <v>1</v>
      </c>
    </row>
    <row r="1145" spans="1:2" x14ac:dyDescent="0.25">
      <c r="A1145" s="131" t="s">
        <v>41</v>
      </c>
      <c r="B1145" s="131">
        <v>1</v>
      </c>
    </row>
    <row r="1146" spans="1:2" x14ac:dyDescent="0.25">
      <c r="A1146" s="131" t="s">
        <v>41</v>
      </c>
      <c r="B1146" s="131">
        <v>1</v>
      </c>
    </row>
    <row r="1147" spans="1:2" x14ac:dyDescent="0.25">
      <c r="A1147" s="131" t="s">
        <v>41</v>
      </c>
      <c r="B1147" s="131">
        <v>1</v>
      </c>
    </row>
    <row r="1148" spans="1:2" x14ac:dyDescent="0.25">
      <c r="A1148" s="131" t="s">
        <v>43</v>
      </c>
      <c r="B1148" s="131">
        <v>1</v>
      </c>
    </row>
    <row r="1149" spans="1:2" x14ac:dyDescent="0.25">
      <c r="A1149" s="131" t="s">
        <v>43</v>
      </c>
      <c r="B1149" s="131">
        <v>1</v>
      </c>
    </row>
    <row r="1150" spans="1:2" x14ac:dyDescent="0.25">
      <c r="A1150" s="131" t="s">
        <v>86</v>
      </c>
      <c r="B1150" s="131">
        <v>1</v>
      </c>
    </row>
    <row r="1151" spans="1:2" x14ac:dyDescent="0.25">
      <c r="A1151" s="131" t="s">
        <v>43</v>
      </c>
      <c r="B1151" s="131">
        <v>1</v>
      </c>
    </row>
    <row r="1152" spans="1:2" x14ac:dyDescent="0.25">
      <c r="A1152" s="131" t="s">
        <v>97</v>
      </c>
      <c r="B1152" s="131">
        <v>1</v>
      </c>
    </row>
    <row r="1153" spans="1:2" x14ac:dyDescent="0.25">
      <c r="A1153" s="131" t="s">
        <v>36</v>
      </c>
      <c r="B1153" s="131">
        <v>1</v>
      </c>
    </row>
    <row r="1154" spans="1:2" x14ac:dyDescent="0.25">
      <c r="A1154" s="131" t="s">
        <v>78</v>
      </c>
      <c r="B1154" s="131">
        <v>1</v>
      </c>
    </row>
    <row r="1155" spans="1:2" x14ac:dyDescent="0.25">
      <c r="A1155" s="131" t="s">
        <v>10</v>
      </c>
      <c r="B1155" s="131">
        <v>1</v>
      </c>
    </row>
    <row r="1156" spans="1:2" x14ac:dyDescent="0.25">
      <c r="A1156" s="131" t="s">
        <v>47</v>
      </c>
      <c r="B1156" s="131">
        <v>1</v>
      </c>
    </row>
    <row r="1157" spans="1:2" x14ac:dyDescent="0.25">
      <c r="A1157" s="131" t="s">
        <v>47</v>
      </c>
      <c r="B1157" s="131">
        <v>1</v>
      </c>
    </row>
    <row r="1158" spans="1:2" x14ac:dyDescent="0.25">
      <c r="A1158" s="131" t="s">
        <v>58</v>
      </c>
      <c r="B1158" s="131">
        <v>1</v>
      </c>
    </row>
    <row r="1159" spans="1:2" x14ac:dyDescent="0.25">
      <c r="A1159" s="131" t="s">
        <v>58</v>
      </c>
      <c r="B1159" s="131">
        <v>1</v>
      </c>
    </row>
    <row r="1160" spans="1:2" x14ac:dyDescent="0.25">
      <c r="A1160" s="131" t="s">
        <v>64</v>
      </c>
      <c r="B1160" s="131">
        <v>1</v>
      </c>
    </row>
    <row r="1161" spans="1:2" x14ac:dyDescent="0.25">
      <c r="A1161" s="131" t="s">
        <v>29</v>
      </c>
      <c r="B1161" s="131">
        <v>1</v>
      </c>
    </row>
    <row r="1162" spans="1:2" x14ac:dyDescent="0.25">
      <c r="A1162" s="131" t="s">
        <v>29</v>
      </c>
      <c r="B1162" s="131">
        <v>1</v>
      </c>
    </row>
    <row r="1163" spans="1:2" x14ac:dyDescent="0.25">
      <c r="A1163" s="131" t="s">
        <v>29</v>
      </c>
      <c r="B1163" s="131">
        <v>1</v>
      </c>
    </row>
    <row r="1164" spans="1:2" x14ac:dyDescent="0.25">
      <c r="A1164" s="131" t="s">
        <v>29</v>
      </c>
      <c r="B1164" s="131">
        <v>1</v>
      </c>
    </row>
    <row r="1165" spans="1:2" x14ac:dyDescent="0.25">
      <c r="A1165" s="131" t="s">
        <v>64</v>
      </c>
      <c r="B1165" s="131">
        <v>1</v>
      </c>
    </row>
    <row r="1166" spans="1:2" x14ac:dyDescent="0.25">
      <c r="A1166" s="131" t="s">
        <v>84</v>
      </c>
      <c r="B1166" s="131">
        <v>1</v>
      </c>
    </row>
    <row r="1167" spans="1:2" x14ac:dyDescent="0.25">
      <c r="A1167" s="131" t="s">
        <v>47</v>
      </c>
      <c r="B1167" s="131">
        <v>1</v>
      </c>
    </row>
    <row r="1168" spans="1:2" x14ac:dyDescent="0.25">
      <c r="A1168" s="131" t="s">
        <v>76</v>
      </c>
      <c r="B1168" s="131">
        <v>1</v>
      </c>
    </row>
    <row r="1169" spans="1:2" x14ac:dyDescent="0.25">
      <c r="A1169" s="131" t="s">
        <v>74</v>
      </c>
      <c r="B1169" s="131">
        <v>1</v>
      </c>
    </row>
    <row r="1170" spans="1:2" x14ac:dyDescent="0.25">
      <c r="A1170" s="131" t="s">
        <v>50</v>
      </c>
      <c r="B1170" s="131">
        <v>1</v>
      </c>
    </row>
    <row r="1171" spans="1:2" x14ac:dyDescent="0.25">
      <c r="A1171" s="131" t="s">
        <v>74</v>
      </c>
      <c r="B1171" s="131">
        <v>1</v>
      </c>
    </row>
    <row r="1172" spans="1:2" x14ac:dyDescent="0.25">
      <c r="A1172" s="131" t="s">
        <v>10</v>
      </c>
      <c r="B1172" s="131">
        <v>1</v>
      </c>
    </row>
    <row r="1173" spans="1:2" x14ac:dyDescent="0.25">
      <c r="A1173" s="131" t="s">
        <v>55</v>
      </c>
      <c r="B1173" s="131">
        <v>1</v>
      </c>
    </row>
    <row r="1174" spans="1:2" x14ac:dyDescent="0.25">
      <c r="A1174" s="131" t="s">
        <v>10</v>
      </c>
      <c r="B1174" s="131">
        <v>1</v>
      </c>
    </row>
    <row r="1175" spans="1:2" x14ac:dyDescent="0.25">
      <c r="A1175" s="131" t="s">
        <v>43</v>
      </c>
      <c r="B1175" s="131">
        <v>1</v>
      </c>
    </row>
    <row r="1176" spans="1:2" x14ac:dyDescent="0.25">
      <c r="A1176" s="131" t="s">
        <v>76</v>
      </c>
      <c r="B1176" s="131">
        <v>1</v>
      </c>
    </row>
    <row r="1177" spans="1:2" x14ac:dyDescent="0.25">
      <c r="A1177" s="131" t="s">
        <v>74</v>
      </c>
      <c r="B1177" s="131">
        <v>1</v>
      </c>
    </row>
    <row r="1178" spans="1:2" x14ac:dyDescent="0.25">
      <c r="A1178" s="131" t="s">
        <v>47</v>
      </c>
      <c r="B1178" s="131">
        <v>1</v>
      </c>
    </row>
    <row r="1179" spans="1:2" x14ac:dyDescent="0.25">
      <c r="A1179" s="131" t="s">
        <v>55</v>
      </c>
      <c r="B1179" s="131">
        <v>1</v>
      </c>
    </row>
    <row r="1180" spans="1:2" x14ac:dyDescent="0.25">
      <c r="A1180" s="131" t="s">
        <v>62</v>
      </c>
      <c r="B1180" s="131">
        <v>1</v>
      </c>
    </row>
    <row r="1181" spans="1:2" x14ac:dyDescent="0.25">
      <c r="A1181" s="131" t="s">
        <v>74</v>
      </c>
      <c r="B1181" s="131">
        <v>1</v>
      </c>
    </row>
    <row r="1182" spans="1:2" x14ac:dyDescent="0.25">
      <c r="A1182" s="131" t="s">
        <v>62</v>
      </c>
      <c r="B1182" s="131">
        <v>1</v>
      </c>
    </row>
    <row r="1183" spans="1:2" x14ac:dyDescent="0.25">
      <c r="A1183" s="131" t="s">
        <v>78</v>
      </c>
      <c r="B1183" s="131">
        <v>1</v>
      </c>
    </row>
    <row r="1184" spans="1:2" x14ac:dyDescent="0.25">
      <c r="A1184" s="131" t="s">
        <v>10</v>
      </c>
      <c r="B1184" s="131">
        <v>1</v>
      </c>
    </row>
    <row r="1185" spans="1:2" x14ac:dyDescent="0.25">
      <c r="A1185" s="131" t="s">
        <v>74</v>
      </c>
      <c r="B1185" s="131">
        <v>1</v>
      </c>
    </row>
    <row r="1186" spans="1:2" x14ac:dyDescent="0.25">
      <c r="A1186" s="131" t="s">
        <v>10</v>
      </c>
      <c r="B1186" s="131">
        <v>1</v>
      </c>
    </row>
    <row r="1187" spans="1:2" x14ac:dyDescent="0.25">
      <c r="A1187" s="131" t="s">
        <v>74</v>
      </c>
      <c r="B1187" s="131">
        <v>1</v>
      </c>
    </row>
    <row r="1188" spans="1:2" x14ac:dyDescent="0.25">
      <c r="A1188" s="131" t="s">
        <v>48</v>
      </c>
      <c r="B1188" s="131">
        <v>1</v>
      </c>
    </row>
    <row r="1189" spans="1:2" x14ac:dyDescent="0.25">
      <c r="A1189" s="131" t="s">
        <v>74</v>
      </c>
      <c r="B1189" s="131">
        <v>1</v>
      </c>
    </row>
    <row r="1190" spans="1:2" x14ac:dyDescent="0.25">
      <c r="A1190" s="131" t="s">
        <v>43</v>
      </c>
      <c r="B1190" s="131">
        <v>1</v>
      </c>
    </row>
    <row r="1191" spans="1:2" x14ac:dyDescent="0.25">
      <c r="A1191" s="131" t="s">
        <v>46</v>
      </c>
      <c r="B1191" s="131">
        <v>1</v>
      </c>
    </row>
    <row r="1192" spans="1:2" x14ac:dyDescent="0.25">
      <c r="A1192" s="131" t="s">
        <v>76</v>
      </c>
      <c r="B1192" s="131">
        <v>1</v>
      </c>
    </row>
    <row r="1193" spans="1:2" x14ac:dyDescent="0.25">
      <c r="A1193" s="131" t="s">
        <v>74</v>
      </c>
      <c r="B1193" s="131">
        <v>1</v>
      </c>
    </row>
    <row r="1194" spans="1:2" x14ac:dyDescent="0.25">
      <c r="A1194" s="131" t="s">
        <v>29</v>
      </c>
      <c r="B1194" s="131">
        <v>1</v>
      </c>
    </row>
    <row r="1195" spans="1:2" x14ac:dyDescent="0.25">
      <c r="A1195" s="131" t="s">
        <v>74</v>
      </c>
      <c r="B1195" s="131">
        <v>1</v>
      </c>
    </row>
    <row r="1196" spans="1:2" x14ac:dyDescent="0.25">
      <c r="A1196" s="131" t="s">
        <v>53</v>
      </c>
      <c r="B1196" s="131">
        <v>1</v>
      </c>
    </row>
    <row r="1197" spans="1:2" x14ac:dyDescent="0.25">
      <c r="A1197" s="131" t="s">
        <v>10</v>
      </c>
      <c r="B1197" s="131">
        <v>1</v>
      </c>
    </row>
    <row r="1198" spans="1:2" x14ac:dyDescent="0.25">
      <c r="A1198" s="131" t="s">
        <v>84</v>
      </c>
      <c r="B1198" s="131">
        <v>1</v>
      </c>
    </row>
    <row r="1199" spans="1:2" x14ac:dyDescent="0.25">
      <c r="A1199" s="131" t="s">
        <v>45</v>
      </c>
      <c r="B1199" s="131">
        <v>1</v>
      </c>
    </row>
    <row r="1200" spans="1:2" x14ac:dyDescent="0.25">
      <c r="A1200" s="131" t="s">
        <v>46</v>
      </c>
      <c r="B1200" s="131">
        <v>1</v>
      </c>
    </row>
    <row r="1201" spans="1:2" x14ac:dyDescent="0.25">
      <c r="A1201" s="131" t="s">
        <v>84</v>
      </c>
      <c r="B1201" s="131">
        <v>1</v>
      </c>
    </row>
    <row r="1202" spans="1:2" x14ac:dyDescent="0.25">
      <c r="A1202" s="131" t="s">
        <v>74</v>
      </c>
      <c r="B1202" s="131">
        <v>1</v>
      </c>
    </row>
    <row r="1203" spans="1:2" x14ac:dyDescent="0.25">
      <c r="A1203" s="131" t="s">
        <v>58</v>
      </c>
      <c r="B1203" s="131">
        <v>1</v>
      </c>
    </row>
    <row r="1204" spans="1:2" x14ac:dyDescent="0.25">
      <c r="A1204" s="131" t="s">
        <v>84</v>
      </c>
      <c r="B1204" s="131">
        <v>1</v>
      </c>
    </row>
    <row r="1205" spans="1:2" x14ac:dyDescent="0.25">
      <c r="A1205" s="131" t="s">
        <v>43</v>
      </c>
      <c r="B1205" s="131">
        <v>1</v>
      </c>
    </row>
    <row r="1206" spans="1:2" x14ac:dyDescent="0.25">
      <c r="A1206" s="131" t="s">
        <v>43</v>
      </c>
      <c r="B1206" s="131">
        <v>1</v>
      </c>
    </row>
    <row r="1207" spans="1:2" x14ac:dyDescent="0.25">
      <c r="A1207" s="131" t="s">
        <v>93</v>
      </c>
      <c r="B1207" s="131">
        <v>1</v>
      </c>
    </row>
    <row r="1208" spans="1:2" x14ac:dyDescent="0.25">
      <c r="A1208" s="131" t="s">
        <v>93</v>
      </c>
      <c r="B1208" s="131">
        <v>1</v>
      </c>
    </row>
    <row r="1209" spans="1:2" x14ac:dyDescent="0.25">
      <c r="A1209" s="131" t="s">
        <v>47</v>
      </c>
      <c r="B1209" s="131">
        <v>1</v>
      </c>
    </row>
    <row r="1210" spans="1:2" x14ac:dyDescent="0.25">
      <c r="A1210" s="131" t="s">
        <v>48</v>
      </c>
      <c r="B1210" s="131">
        <v>1</v>
      </c>
    </row>
    <row r="1211" spans="1:2" x14ac:dyDescent="0.25">
      <c r="A1211" s="131" t="s">
        <v>76</v>
      </c>
      <c r="B1211" s="131">
        <v>1</v>
      </c>
    </row>
    <row r="1212" spans="1:2" x14ac:dyDescent="0.25">
      <c r="A1212" s="131" t="s">
        <v>29</v>
      </c>
      <c r="B1212" s="131">
        <v>1</v>
      </c>
    </row>
    <row r="1213" spans="1:2" x14ac:dyDescent="0.25">
      <c r="A1213" s="131" t="s">
        <v>29</v>
      </c>
      <c r="B1213" s="131">
        <v>1</v>
      </c>
    </row>
    <row r="1214" spans="1:2" x14ac:dyDescent="0.25">
      <c r="A1214" s="131" t="s">
        <v>50</v>
      </c>
      <c r="B1214" s="131">
        <v>1</v>
      </c>
    </row>
    <row r="1215" spans="1:2" x14ac:dyDescent="0.25">
      <c r="A1215" s="131" t="s">
        <v>74</v>
      </c>
      <c r="B1215" s="131">
        <v>1</v>
      </c>
    </row>
    <row r="1216" spans="1:2" x14ac:dyDescent="0.25">
      <c r="A1216" s="131" t="s">
        <v>60</v>
      </c>
      <c r="B1216" s="131">
        <v>1</v>
      </c>
    </row>
    <row r="1217" spans="1:2" x14ac:dyDescent="0.25">
      <c r="A1217" s="131" t="s">
        <v>74</v>
      </c>
      <c r="B1217" s="131">
        <v>1</v>
      </c>
    </row>
    <row r="1218" spans="1:2" x14ac:dyDescent="0.25">
      <c r="A1218" s="131" t="s">
        <v>41</v>
      </c>
      <c r="B1218" s="131">
        <v>1</v>
      </c>
    </row>
    <row r="1219" spans="1:2" x14ac:dyDescent="0.25">
      <c r="A1219" s="131" t="s">
        <v>41</v>
      </c>
      <c r="B1219" s="131">
        <v>1</v>
      </c>
    </row>
    <row r="1220" spans="1:2" x14ac:dyDescent="0.25">
      <c r="A1220" s="131" t="s">
        <v>74</v>
      </c>
      <c r="B1220" s="131">
        <v>1</v>
      </c>
    </row>
    <row r="1221" spans="1:2" x14ac:dyDescent="0.25">
      <c r="A1221" s="131" t="s">
        <v>43</v>
      </c>
      <c r="B1221" s="131">
        <v>1</v>
      </c>
    </row>
    <row r="1222" spans="1:2" x14ac:dyDescent="0.25">
      <c r="A1222" s="131" t="s">
        <v>53</v>
      </c>
      <c r="B1222" s="131">
        <v>1</v>
      </c>
    </row>
    <row r="1223" spans="1:2" x14ac:dyDescent="0.25">
      <c r="A1223" s="131" t="s">
        <v>36</v>
      </c>
      <c r="B1223" s="131">
        <v>-1</v>
      </c>
    </row>
    <row r="1224" spans="1:2" x14ac:dyDescent="0.25">
      <c r="A1224" s="131" t="s">
        <v>89</v>
      </c>
      <c r="B1224" s="131">
        <v>1</v>
      </c>
    </row>
    <row r="1225" spans="1:2" x14ac:dyDescent="0.25">
      <c r="A1225" s="131" t="s">
        <v>76</v>
      </c>
      <c r="B1225" s="131">
        <v>1</v>
      </c>
    </row>
    <row r="1226" spans="1:2" x14ac:dyDescent="0.25">
      <c r="A1226" s="131" t="s">
        <v>72</v>
      </c>
      <c r="B1226" s="131">
        <v>1</v>
      </c>
    </row>
    <row r="1227" spans="1:2" x14ac:dyDescent="0.25">
      <c r="A1227" s="131" t="s">
        <v>46</v>
      </c>
      <c r="B1227" s="131">
        <v>1</v>
      </c>
    </row>
    <row r="1228" spans="1:2" x14ac:dyDescent="0.25">
      <c r="A1228" s="131" t="s">
        <v>76</v>
      </c>
      <c r="B1228" s="131">
        <v>1</v>
      </c>
    </row>
    <row r="1229" spans="1:2" x14ac:dyDescent="0.25">
      <c r="A1229" s="131" t="s">
        <v>10</v>
      </c>
      <c r="B1229" s="131">
        <v>1</v>
      </c>
    </row>
    <row r="1230" spans="1:2" x14ac:dyDescent="0.25">
      <c r="A1230" s="131" t="s">
        <v>47</v>
      </c>
      <c r="B1230" s="131">
        <v>1</v>
      </c>
    </row>
    <row r="1231" spans="1:2" x14ac:dyDescent="0.25">
      <c r="A1231" s="131" t="s">
        <v>46</v>
      </c>
      <c r="B1231" s="131">
        <v>1</v>
      </c>
    </row>
    <row r="1232" spans="1:2" x14ac:dyDescent="0.25">
      <c r="A1232" s="131" t="s">
        <v>33</v>
      </c>
      <c r="B1232" s="131">
        <v>1</v>
      </c>
    </row>
    <row r="1233" spans="1:2" x14ac:dyDescent="0.25">
      <c r="A1233" s="131" t="s">
        <v>43</v>
      </c>
      <c r="B1233" s="131">
        <v>1</v>
      </c>
    </row>
    <row r="1234" spans="1:2" x14ac:dyDescent="0.25">
      <c r="A1234" s="131" t="s">
        <v>10</v>
      </c>
      <c r="B1234" s="131">
        <v>1</v>
      </c>
    </row>
    <row r="1235" spans="1:2" x14ac:dyDescent="0.25">
      <c r="A1235" s="131" t="s">
        <v>48</v>
      </c>
      <c r="B1235" s="131">
        <v>1</v>
      </c>
    </row>
    <row r="1236" spans="1:2" x14ac:dyDescent="0.25">
      <c r="A1236" s="131" t="s">
        <v>74</v>
      </c>
      <c r="B1236" s="131">
        <v>1</v>
      </c>
    </row>
    <row r="1237" spans="1:2" x14ac:dyDescent="0.25">
      <c r="A1237" s="131" t="s">
        <v>41</v>
      </c>
      <c r="B1237" s="131">
        <v>1</v>
      </c>
    </row>
    <row r="1238" spans="1:2" x14ac:dyDescent="0.25">
      <c r="A1238" s="131" t="s">
        <v>67</v>
      </c>
      <c r="B1238" s="131">
        <v>1</v>
      </c>
    </row>
    <row r="1239" spans="1:2" x14ac:dyDescent="0.25">
      <c r="A1239" s="131" t="s">
        <v>74</v>
      </c>
      <c r="B1239" s="131">
        <v>1</v>
      </c>
    </row>
    <row r="1240" spans="1:2" x14ac:dyDescent="0.25">
      <c r="A1240" s="131" t="s">
        <v>43</v>
      </c>
      <c r="B1240" s="131">
        <v>1</v>
      </c>
    </row>
    <row r="1241" spans="1:2" x14ac:dyDescent="0.25">
      <c r="A1241" s="131" t="s">
        <v>43</v>
      </c>
      <c r="B1241" s="131">
        <v>1</v>
      </c>
    </row>
    <row r="1242" spans="1:2" x14ac:dyDescent="0.25">
      <c r="A1242" s="131" t="s">
        <v>43</v>
      </c>
      <c r="B1242" s="131">
        <v>1</v>
      </c>
    </row>
    <row r="1243" spans="1:2" x14ac:dyDescent="0.25">
      <c r="A1243" s="131" t="s">
        <v>43</v>
      </c>
      <c r="B1243" s="131">
        <v>1</v>
      </c>
    </row>
    <row r="1244" spans="1:2" x14ac:dyDescent="0.25">
      <c r="A1244" s="131" t="s">
        <v>89</v>
      </c>
      <c r="B1244" s="131">
        <v>1</v>
      </c>
    </row>
    <row r="1245" spans="1:2" x14ac:dyDescent="0.25">
      <c r="A1245" s="131" t="s">
        <v>74</v>
      </c>
      <c r="B1245" s="131">
        <v>1</v>
      </c>
    </row>
    <row r="1246" spans="1:2" x14ac:dyDescent="0.25">
      <c r="A1246" s="131" t="s">
        <v>74</v>
      </c>
      <c r="B1246" s="131">
        <v>1</v>
      </c>
    </row>
    <row r="1247" spans="1:2" x14ac:dyDescent="0.25">
      <c r="A1247" s="131" t="s">
        <v>89</v>
      </c>
      <c r="B1247" s="131">
        <v>1</v>
      </c>
    </row>
    <row r="1248" spans="1:2" x14ac:dyDescent="0.25">
      <c r="A1248" s="131" t="s">
        <v>43</v>
      </c>
      <c r="B1248" s="131">
        <v>1</v>
      </c>
    </row>
    <row r="1249" spans="1:2" x14ac:dyDescent="0.25">
      <c r="A1249" s="131" t="s">
        <v>36</v>
      </c>
      <c r="B1249" s="131">
        <v>1</v>
      </c>
    </row>
    <row r="1250" spans="1:2" x14ac:dyDescent="0.25">
      <c r="A1250" s="131" t="s">
        <v>55</v>
      </c>
      <c r="B1250" s="131">
        <v>1</v>
      </c>
    </row>
    <row r="1251" spans="1:2" x14ac:dyDescent="0.25">
      <c r="A1251" s="131" t="s">
        <v>84</v>
      </c>
      <c r="B1251" s="131">
        <v>1</v>
      </c>
    </row>
    <row r="1252" spans="1:2" x14ac:dyDescent="0.25">
      <c r="A1252" s="131" t="s">
        <v>84</v>
      </c>
      <c r="B1252" s="131">
        <v>1</v>
      </c>
    </row>
    <row r="1253" spans="1:2" x14ac:dyDescent="0.25">
      <c r="A1253" s="131" t="s">
        <v>66</v>
      </c>
      <c r="B1253" s="131">
        <v>1</v>
      </c>
    </row>
    <row r="1254" spans="1:2" x14ac:dyDescent="0.25">
      <c r="A1254" s="131" t="s">
        <v>50</v>
      </c>
      <c r="B1254" s="131">
        <v>1</v>
      </c>
    </row>
    <row r="1255" spans="1:2" x14ac:dyDescent="0.25">
      <c r="A1255" s="131" t="s">
        <v>50</v>
      </c>
      <c r="B1255" s="131">
        <v>1</v>
      </c>
    </row>
    <row r="1256" spans="1:2" x14ac:dyDescent="0.25">
      <c r="A1256" s="131" t="s">
        <v>76</v>
      </c>
      <c r="B1256" s="131">
        <v>1</v>
      </c>
    </row>
    <row r="1257" spans="1:2" x14ac:dyDescent="0.25">
      <c r="A1257" s="131" t="s">
        <v>10</v>
      </c>
      <c r="B1257" s="131">
        <v>1</v>
      </c>
    </row>
    <row r="1258" spans="1:2" x14ac:dyDescent="0.25">
      <c r="A1258" s="131" t="s">
        <v>43</v>
      </c>
      <c r="B1258" s="131">
        <v>1</v>
      </c>
    </row>
    <row r="1259" spans="1:2" x14ac:dyDescent="0.25">
      <c r="A1259" s="131" t="s">
        <v>76</v>
      </c>
      <c r="B1259" s="131">
        <v>1</v>
      </c>
    </row>
    <row r="1260" spans="1:2" x14ac:dyDescent="0.25">
      <c r="A1260" s="131" t="s">
        <v>58</v>
      </c>
      <c r="B1260" s="131">
        <v>1</v>
      </c>
    </row>
    <row r="1261" spans="1:2" x14ac:dyDescent="0.25">
      <c r="A1261" s="131" t="s">
        <v>55</v>
      </c>
      <c r="B1261" s="131">
        <v>1</v>
      </c>
    </row>
    <row r="1262" spans="1:2" x14ac:dyDescent="0.25">
      <c r="A1262" s="131" t="s">
        <v>60</v>
      </c>
      <c r="B1262" s="131">
        <v>1</v>
      </c>
    </row>
    <row r="1263" spans="1:2" x14ac:dyDescent="0.25">
      <c r="A1263" s="131" t="s">
        <v>50</v>
      </c>
      <c r="B1263" s="131">
        <v>1</v>
      </c>
    </row>
    <row r="1264" spans="1:2" x14ac:dyDescent="0.25">
      <c r="A1264" s="131" t="s">
        <v>53</v>
      </c>
      <c r="B1264" s="131">
        <v>1</v>
      </c>
    </row>
    <row r="1265" spans="1:2" x14ac:dyDescent="0.25">
      <c r="A1265" s="131" t="s">
        <v>53</v>
      </c>
      <c r="B1265" s="131">
        <v>1</v>
      </c>
    </row>
    <row r="1266" spans="1:2" x14ac:dyDescent="0.25">
      <c r="A1266" s="131" t="s">
        <v>29</v>
      </c>
      <c r="B1266" s="131">
        <v>1</v>
      </c>
    </row>
    <row r="1267" spans="1:2" x14ac:dyDescent="0.25">
      <c r="A1267" s="131" t="s">
        <v>36</v>
      </c>
      <c r="B1267" s="131">
        <v>1</v>
      </c>
    </row>
    <row r="1268" spans="1:2" x14ac:dyDescent="0.25">
      <c r="A1268" s="131" t="s">
        <v>58</v>
      </c>
      <c r="B1268" s="131">
        <v>1</v>
      </c>
    </row>
    <row r="1269" spans="1:2" x14ac:dyDescent="0.25">
      <c r="A1269" s="131" t="s">
        <v>60</v>
      </c>
      <c r="B1269" s="131">
        <v>1</v>
      </c>
    </row>
    <row r="1270" spans="1:2" x14ac:dyDescent="0.25">
      <c r="A1270" s="131" t="s">
        <v>29</v>
      </c>
      <c r="B1270" s="131">
        <v>1</v>
      </c>
    </row>
    <row r="1271" spans="1:2" x14ac:dyDescent="0.25">
      <c r="A1271" s="131" t="s">
        <v>47</v>
      </c>
      <c r="B1271" s="131">
        <v>1</v>
      </c>
    </row>
    <row r="1272" spans="1:2" x14ac:dyDescent="0.25">
      <c r="A1272" s="131" t="s">
        <v>78</v>
      </c>
      <c r="B1272" s="131">
        <v>1</v>
      </c>
    </row>
    <row r="1273" spans="1:2" x14ac:dyDescent="0.25">
      <c r="A1273" s="131" t="s">
        <v>95</v>
      </c>
      <c r="B1273" s="131">
        <v>1</v>
      </c>
    </row>
    <row r="1274" spans="1:2" x14ac:dyDescent="0.25">
      <c r="A1274" s="131" t="s">
        <v>58</v>
      </c>
      <c r="B1274" s="131">
        <v>1</v>
      </c>
    </row>
    <row r="1275" spans="1:2" x14ac:dyDescent="0.25">
      <c r="A1275" s="131" t="s">
        <v>50</v>
      </c>
      <c r="B1275" s="131">
        <v>1</v>
      </c>
    </row>
    <row r="1276" spans="1:2" x14ac:dyDescent="0.25">
      <c r="A1276" s="131" t="s">
        <v>53</v>
      </c>
      <c r="B1276" s="131">
        <v>1</v>
      </c>
    </row>
    <row r="1277" spans="1:2" x14ac:dyDescent="0.25">
      <c r="A1277" s="131" t="s">
        <v>41</v>
      </c>
      <c r="B1277" s="131">
        <v>1</v>
      </c>
    </row>
    <row r="1278" spans="1:2" x14ac:dyDescent="0.25">
      <c r="A1278" s="131" t="s">
        <v>48</v>
      </c>
      <c r="B1278" s="131">
        <v>1</v>
      </c>
    </row>
    <row r="1279" spans="1:2" x14ac:dyDescent="0.25">
      <c r="A1279" s="131" t="s">
        <v>45</v>
      </c>
      <c r="B1279" s="131">
        <v>1</v>
      </c>
    </row>
    <row r="1280" spans="1:2" x14ac:dyDescent="0.25">
      <c r="A1280" s="131" t="s">
        <v>89</v>
      </c>
      <c r="B1280" s="131">
        <v>1</v>
      </c>
    </row>
    <row r="1281" spans="1:2" x14ac:dyDescent="0.25">
      <c r="A1281" s="131" t="s">
        <v>89</v>
      </c>
      <c r="B1281" s="131">
        <v>1</v>
      </c>
    </row>
    <row r="1282" spans="1:2" x14ac:dyDescent="0.25">
      <c r="A1282" s="131" t="s">
        <v>36</v>
      </c>
      <c r="B1282" s="131">
        <v>1</v>
      </c>
    </row>
    <row r="1283" spans="1:2" x14ac:dyDescent="0.25">
      <c r="A1283" s="131" t="s">
        <v>50</v>
      </c>
      <c r="B1283" s="131">
        <v>1</v>
      </c>
    </row>
    <row r="1284" spans="1:2" x14ac:dyDescent="0.25">
      <c r="A1284" s="131" t="s">
        <v>50</v>
      </c>
      <c r="B1284" s="131">
        <v>1</v>
      </c>
    </row>
    <row r="1285" spans="1:2" x14ac:dyDescent="0.25">
      <c r="A1285" s="131" t="s">
        <v>50</v>
      </c>
      <c r="B1285" s="131">
        <v>1</v>
      </c>
    </row>
    <row r="1286" spans="1:2" x14ac:dyDescent="0.25">
      <c r="A1286" s="131" t="s">
        <v>87</v>
      </c>
      <c r="B1286" s="131">
        <v>1</v>
      </c>
    </row>
    <row r="1287" spans="1:2" x14ac:dyDescent="0.25">
      <c r="A1287" s="131" t="s">
        <v>84</v>
      </c>
      <c r="B1287" s="131">
        <v>1</v>
      </c>
    </row>
    <row r="1288" spans="1:2" x14ac:dyDescent="0.25">
      <c r="A1288" s="131" t="s">
        <v>76</v>
      </c>
      <c r="B1288" s="131">
        <v>1</v>
      </c>
    </row>
    <row r="1289" spans="1:2" x14ac:dyDescent="0.25">
      <c r="A1289" s="131" t="s">
        <v>74</v>
      </c>
      <c r="B1289" s="131">
        <v>-1</v>
      </c>
    </row>
    <row r="1290" spans="1:2" x14ac:dyDescent="0.25">
      <c r="A1290" s="131" t="s">
        <v>60</v>
      </c>
      <c r="B1290" s="131">
        <v>1</v>
      </c>
    </row>
    <row r="1291" spans="1:2" x14ac:dyDescent="0.25">
      <c r="A1291" s="131" t="s">
        <v>62</v>
      </c>
      <c r="B1291" s="131">
        <v>1</v>
      </c>
    </row>
    <row r="1292" spans="1:2" x14ac:dyDescent="0.25">
      <c r="A1292" s="131" t="s">
        <v>58</v>
      </c>
      <c r="B1292" s="131">
        <v>1</v>
      </c>
    </row>
    <row r="1293" spans="1:2" x14ac:dyDescent="0.25">
      <c r="A1293" s="131" t="s">
        <v>60</v>
      </c>
      <c r="B1293" s="131">
        <v>1</v>
      </c>
    </row>
    <row r="1294" spans="1:2" x14ac:dyDescent="0.25">
      <c r="A1294" s="131" t="s">
        <v>10</v>
      </c>
      <c r="B1294" s="131">
        <v>1</v>
      </c>
    </row>
    <row r="1295" spans="1:2" x14ac:dyDescent="0.25">
      <c r="A1295" s="131" t="s">
        <v>43</v>
      </c>
      <c r="B1295" s="131">
        <v>1</v>
      </c>
    </row>
    <row r="1296" spans="1:2" x14ac:dyDescent="0.25">
      <c r="A1296" s="131" t="s">
        <v>43</v>
      </c>
      <c r="B1296" s="131">
        <v>1</v>
      </c>
    </row>
    <row r="1297" spans="1:2" x14ac:dyDescent="0.25">
      <c r="A1297" s="131" t="s">
        <v>47</v>
      </c>
      <c r="B1297" s="131">
        <v>1</v>
      </c>
    </row>
    <row r="1298" spans="1:2" x14ac:dyDescent="0.25">
      <c r="A1298" s="131" t="s">
        <v>46</v>
      </c>
      <c r="B1298" s="131">
        <v>1</v>
      </c>
    </row>
    <row r="1299" spans="1:2" x14ac:dyDescent="0.25">
      <c r="A1299" s="131" t="s">
        <v>48</v>
      </c>
      <c r="B1299" s="131">
        <v>1</v>
      </c>
    </row>
    <row r="1300" spans="1:2" x14ac:dyDescent="0.25">
      <c r="A1300" s="131" t="s">
        <v>10</v>
      </c>
      <c r="B1300" s="131">
        <v>1</v>
      </c>
    </row>
    <row r="1301" spans="1:2" x14ac:dyDescent="0.25">
      <c r="A1301" s="131" t="s">
        <v>10</v>
      </c>
      <c r="B1301" s="131">
        <v>1</v>
      </c>
    </row>
    <row r="1302" spans="1:2" x14ac:dyDescent="0.25">
      <c r="A1302" s="131" t="s">
        <v>10</v>
      </c>
      <c r="B1302" s="131">
        <v>1</v>
      </c>
    </row>
    <row r="1303" spans="1:2" x14ac:dyDescent="0.25">
      <c r="A1303" s="131" t="s">
        <v>74</v>
      </c>
      <c r="B1303" s="131">
        <v>1</v>
      </c>
    </row>
    <row r="1304" spans="1:2" x14ac:dyDescent="0.25">
      <c r="A1304" s="131" t="s">
        <v>74</v>
      </c>
      <c r="B1304" s="131">
        <v>1</v>
      </c>
    </row>
    <row r="1305" spans="1:2" x14ac:dyDescent="0.25">
      <c r="A1305" s="131" t="s">
        <v>74</v>
      </c>
      <c r="B1305" s="131">
        <v>1</v>
      </c>
    </row>
    <row r="1306" spans="1:2" x14ac:dyDescent="0.25">
      <c r="A1306" s="131" t="s">
        <v>74</v>
      </c>
      <c r="B1306" s="131">
        <v>1</v>
      </c>
    </row>
    <row r="1307" spans="1:2" x14ac:dyDescent="0.25">
      <c r="A1307" s="131" t="s">
        <v>45</v>
      </c>
      <c r="B1307" s="131">
        <v>1</v>
      </c>
    </row>
    <row r="1308" spans="1:2" x14ac:dyDescent="0.25">
      <c r="A1308" s="131" t="s">
        <v>50</v>
      </c>
      <c r="B1308" s="131">
        <v>1</v>
      </c>
    </row>
    <row r="1309" spans="1:2" x14ac:dyDescent="0.25">
      <c r="A1309" s="131" t="s">
        <v>50</v>
      </c>
      <c r="B1309" s="131">
        <v>1</v>
      </c>
    </row>
    <row r="1310" spans="1:2" x14ac:dyDescent="0.25">
      <c r="A1310" s="131" t="s">
        <v>86</v>
      </c>
      <c r="B1310" s="131">
        <v>-1</v>
      </c>
    </row>
    <row r="1311" spans="1:2" x14ac:dyDescent="0.25">
      <c r="A1311" s="131" t="s">
        <v>74</v>
      </c>
      <c r="B1311" s="131">
        <v>1</v>
      </c>
    </row>
    <row r="1312" spans="1:2" x14ac:dyDescent="0.25">
      <c r="A1312" s="131" t="s">
        <v>74</v>
      </c>
      <c r="B1312" s="131">
        <v>1</v>
      </c>
    </row>
    <row r="1313" spans="1:2" x14ac:dyDescent="0.25">
      <c r="A1313" s="131" t="s">
        <v>74</v>
      </c>
      <c r="B1313" s="131">
        <v>1</v>
      </c>
    </row>
    <row r="1314" spans="1:2" x14ac:dyDescent="0.25">
      <c r="A1314" s="131" t="s">
        <v>71</v>
      </c>
      <c r="B1314" s="131">
        <v>1</v>
      </c>
    </row>
    <row r="1315" spans="1:2" x14ac:dyDescent="0.25">
      <c r="A1315" s="131" t="s">
        <v>50</v>
      </c>
      <c r="B1315" s="131">
        <v>1</v>
      </c>
    </row>
    <row r="1316" spans="1:2" x14ac:dyDescent="0.25">
      <c r="A1316" s="131" t="s">
        <v>47</v>
      </c>
      <c r="B1316" s="131">
        <v>1</v>
      </c>
    </row>
    <row r="1317" spans="1:2" x14ac:dyDescent="0.25">
      <c r="A1317" s="131" t="s">
        <v>82</v>
      </c>
      <c r="B1317" s="131">
        <v>1</v>
      </c>
    </row>
    <row r="1318" spans="1:2" x14ac:dyDescent="0.25">
      <c r="A1318" s="131" t="s">
        <v>82</v>
      </c>
      <c r="B1318" s="131">
        <v>1</v>
      </c>
    </row>
    <row r="1319" spans="1:2" x14ac:dyDescent="0.25">
      <c r="A1319" s="131" t="s">
        <v>50</v>
      </c>
      <c r="B1319" s="131">
        <v>1</v>
      </c>
    </row>
    <row r="1320" spans="1:2" x14ac:dyDescent="0.25">
      <c r="A1320" s="131" t="s">
        <v>50</v>
      </c>
      <c r="B1320" s="131">
        <v>1</v>
      </c>
    </row>
    <row r="1321" spans="1:2" x14ac:dyDescent="0.25">
      <c r="A1321" s="131" t="s">
        <v>78</v>
      </c>
      <c r="B1321" s="131">
        <v>1</v>
      </c>
    </row>
    <row r="1322" spans="1:2" x14ac:dyDescent="0.25">
      <c r="A1322" s="131" t="s">
        <v>78</v>
      </c>
      <c r="B1322" s="131">
        <v>1</v>
      </c>
    </row>
    <row r="1323" spans="1:2" x14ac:dyDescent="0.25">
      <c r="A1323" s="131" t="s">
        <v>43</v>
      </c>
      <c r="B1323" s="131">
        <v>1</v>
      </c>
    </row>
    <row r="1324" spans="1:2" x14ac:dyDescent="0.25">
      <c r="A1324" s="131" t="s">
        <v>43</v>
      </c>
      <c r="B1324" s="131">
        <v>1</v>
      </c>
    </row>
    <row r="1325" spans="1:2" x14ac:dyDescent="0.25">
      <c r="A1325" s="131" t="s">
        <v>76</v>
      </c>
      <c r="B1325" s="131">
        <v>1</v>
      </c>
    </row>
    <row r="1326" spans="1:2" x14ac:dyDescent="0.25">
      <c r="A1326" s="131" t="s">
        <v>53</v>
      </c>
      <c r="B1326" s="131">
        <v>1</v>
      </c>
    </row>
    <row r="1327" spans="1:2" x14ac:dyDescent="0.25">
      <c r="A1327" s="131" t="s">
        <v>10</v>
      </c>
      <c r="B1327" s="131">
        <v>1</v>
      </c>
    </row>
    <row r="1328" spans="1:2" x14ac:dyDescent="0.25">
      <c r="A1328" s="131" t="s">
        <v>47</v>
      </c>
      <c r="B1328" s="131">
        <v>1</v>
      </c>
    </row>
    <row r="1329" spans="1:2" x14ac:dyDescent="0.25">
      <c r="A1329" s="131" t="s">
        <v>62</v>
      </c>
      <c r="B1329" s="131">
        <v>1</v>
      </c>
    </row>
    <row r="1330" spans="1:2" x14ac:dyDescent="0.25">
      <c r="A1330" s="131" t="s">
        <v>74</v>
      </c>
      <c r="B1330" s="131">
        <v>1</v>
      </c>
    </row>
    <row r="1331" spans="1:2" x14ac:dyDescent="0.25">
      <c r="A1331" s="131" t="s">
        <v>41</v>
      </c>
      <c r="B1331" s="131">
        <v>1</v>
      </c>
    </row>
    <row r="1332" spans="1:2" x14ac:dyDescent="0.25">
      <c r="A1332" s="131" t="s">
        <v>10</v>
      </c>
      <c r="B1332" s="131">
        <v>1</v>
      </c>
    </row>
    <row r="1333" spans="1:2" x14ac:dyDescent="0.25">
      <c r="A1333" s="131" t="s">
        <v>10</v>
      </c>
      <c r="B1333" s="131">
        <v>1</v>
      </c>
    </row>
    <row r="1334" spans="1:2" x14ac:dyDescent="0.25">
      <c r="A1334" s="131" t="s">
        <v>43</v>
      </c>
      <c r="B1334" s="131">
        <v>1</v>
      </c>
    </row>
    <row r="1335" spans="1:2" x14ac:dyDescent="0.25">
      <c r="A1335" s="131" t="s">
        <v>43</v>
      </c>
      <c r="B1335" s="131">
        <v>1</v>
      </c>
    </row>
    <row r="1336" spans="1:2" x14ac:dyDescent="0.25">
      <c r="A1336" s="131" t="s">
        <v>33</v>
      </c>
      <c r="B1336" s="131">
        <v>1</v>
      </c>
    </row>
    <row r="1337" spans="1:2" x14ac:dyDescent="0.25">
      <c r="A1337" s="131" t="s">
        <v>41</v>
      </c>
      <c r="B1337" s="131">
        <v>1</v>
      </c>
    </row>
    <row r="1338" spans="1:2" x14ac:dyDescent="0.25">
      <c r="A1338" s="131" t="s">
        <v>76</v>
      </c>
      <c r="B1338" s="131">
        <v>1</v>
      </c>
    </row>
    <row r="1339" spans="1:2" x14ac:dyDescent="0.25">
      <c r="A1339" s="131" t="s">
        <v>78</v>
      </c>
      <c r="B1339" s="131">
        <v>1</v>
      </c>
    </row>
    <row r="1340" spans="1:2" x14ac:dyDescent="0.25">
      <c r="A1340" s="131" t="s">
        <v>58</v>
      </c>
      <c r="B1340" s="131">
        <v>1</v>
      </c>
    </row>
    <row r="1341" spans="1:2" x14ac:dyDescent="0.25">
      <c r="A1341" s="131" t="s">
        <v>74</v>
      </c>
      <c r="B1341" s="131">
        <v>1</v>
      </c>
    </row>
    <row r="1342" spans="1:2" x14ac:dyDescent="0.25">
      <c r="A1342" s="131" t="s">
        <v>33</v>
      </c>
      <c r="B1342" s="131">
        <v>1</v>
      </c>
    </row>
    <row r="1343" spans="1:2" x14ac:dyDescent="0.25">
      <c r="A1343" s="131" t="s">
        <v>10</v>
      </c>
      <c r="B1343" s="131">
        <v>1</v>
      </c>
    </row>
    <row r="1344" spans="1:2" x14ac:dyDescent="0.25">
      <c r="A1344" s="131" t="s">
        <v>10</v>
      </c>
      <c r="B1344" s="131">
        <v>1</v>
      </c>
    </row>
    <row r="1345" spans="1:2" x14ac:dyDescent="0.25">
      <c r="A1345" s="131" t="s">
        <v>45</v>
      </c>
      <c r="B1345" s="131">
        <v>1</v>
      </c>
    </row>
    <row r="1346" spans="1:2" x14ac:dyDescent="0.25">
      <c r="A1346" s="131" t="s">
        <v>29</v>
      </c>
      <c r="B1346" s="131">
        <v>1</v>
      </c>
    </row>
    <row r="1347" spans="1:2" x14ac:dyDescent="0.25">
      <c r="A1347" s="131" t="s">
        <v>58</v>
      </c>
      <c r="B1347" s="131">
        <v>1</v>
      </c>
    </row>
    <row r="1348" spans="1:2" x14ac:dyDescent="0.25">
      <c r="A1348" s="131" t="s">
        <v>29</v>
      </c>
      <c r="B1348" s="131">
        <v>1</v>
      </c>
    </row>
    <row r="1349" spans="1:2" x14ac:dyDescent="0.25">
      <c r="A1349" s="131" t="s">
        <v>36</v>
      </c>
      <c r="B1349" s="131">
        <v>1</v>
      </c>
    </row>
    <row r="1350" spans="1:2" x14ac:dyDescent="0.25">
      <c r="A1350" s="131" t="s">
        <v>62</v>
      </c>
      <c r="B1350" s="131">
        <v>1</v>
      </c>
    </row>
    <row r="1351" spans="1:2" x14ac:dyDescent="0.25">
      <c r="A1351" s="131" t="s">
        <v>50</v>
      </c>
      <c r="B1351" s="131">
        <v>1</v>
      </c>
    </row>
    <row r="1352" spans="1:2" x14ac:dyDescent="0.25">
      <c r="A1352" s="131" t="s">
        <v>69</v>
      </c>
      <c r="B1352" s="131">
        <v>1</v>
      </c>
    </row>
    <row r="1353" spans="1:2" x14ac:dyDescent="0.25">
      <c r="A1353" s="131" t="s">
        <v>71</v>
      </c>
      <c r="B1353" s="131">
        <v>1</v>
      </c>
    </row>
    <row r="1354" spans="1:2" x14ac:dyDescent="0.25">
      <c r="A1354" s="131" t="s">
        <v>55</v>
      </c>
      <c r="B1354" s="131">
        <v>1</v>
      </c>
    </row>
    <row r="1355" spans="1:2" x14ac:dyDescent="0.25">
      <c r="A1355" s="131" t="s">
        <v>45</v>
      </c>
      <c r="B1355" s="131">
        <v>1</v>
      </c>
    </row>
    <row r="1356" spans="1:2" x14ac:dyDescent="0.25">
      <c r="A1356" s="131" t="s">
        <v>46</v>
      </c>
      <c r="B1356" s="131">
        <v>1</v>
      </c>
    </row>
    <row r="1357" spans="1:2" x14ac:dyDescent="0.25">
      <c r="A1357" s="131" t="s">
        <v>84</v>
      </c>
      <c r="B1357" s="131">
        <v>1</v>
      </c>
    </row>
    <row r="1358" spans="1:2" x14ac:dyDescent="0.25">
      <c r="A1358" s="131" t="s">
        <v>58</v>
      </c>
      <c r="B1358" s="131">
        <v>1</v>
      </c>
    </row>
    <row r="1359" spans="1:2" x14ac:dyDescent="0.25">
      <c r="A1359" s="131" t="s">
        <v>93</v>
      </c>
      <c r="B1359" s="131">
        <v>1</v>
      </c>
    </row>
    <row r="1360" spans="1:2" x14ac:dyDescent="0.25">
      <c r="A1360" s="131" t="s">
        <v>47</v>
      </c>
      <c r="B1360" s="131">
        <v>1</v>
      </c>
    </row>
    <row r="1361" spans="1:2" x14ac:dyDescent="0.25">
      <c r="A1361" s="131" t="s">
        <v>10</v>
      </c>
      <c r="B1361" s="131">
        <v>1</v>
      </c>
    </row>
    <row r="1362" spans="1:2" x14ac:dyDescent="0.25">
      <c r="A1362" s="131" t="s">
        <v>10</v>
      </c>
      <c r="B1362" s="131">
        <v>1</v>
      </c>
    </row>
    <row r="1363" spans="1:2" x14ac:dyDescent="0.25">
      <c r="A1363" s="131" t="s">
        <v>46</v>
      </c>
      <c r="B1363" s="131">
        <v>1</v>
      </c>
    </row>
    <row r="1364" spans="1:2" x14ac:dyDescent="0.25">
      <c r="A1364" s="131" t="s">
        <v>10</v>
      </c>
      <c r="B1364" s="131">
        <v>-1</v>
      </c>
    </row>
    <row r="1365" spans="1:2" x14ac:dyDescent="0.25">
      <c r="A1365" s="131" t="s">
        <v>74</v>
      </c>
      <c r="B1365" s="131">
        <v>1</v>
      </c>
    </row>
    <row r="1366" spans="1:2" x14ac:dyDescent="0.25">
      <c r="A1366" s="131" t="s">
        <v>74</v>
      </c>
      <c r="B1366" s="131">
        <v>1</v>
      </c>
    </row>
    <row r="1367" spans="1:2" x14ac:dyDescent="0.25">
      <c r="A1367" s="131" t="s">
        <v>74</v>
      </c>
      <c r="B1367" s="131">
        <v>1</v>
      </c>
    </row>
    <row r="1368" spans="1:2" x14ac:dyDescent="0.25">
      <c r="A1368" s="131" t="s">
        <v>74</v>
      </c>
      <c r="B1368" s="131">
        <v>1</v>
      </c>
    </row>
    <row r="1369" spans="1:2" x14ac:dyDescent="0.25">
      <c r="A1369" s="131" t="s">
        <v>33</v>
      </c>
      <c r="B1369" s="131">
        <v>1</v>
      </c>
    </row>
    <row r="1370" spans="1:2" x14ac:dyDescent="0.25">
      <c r="A1370" s="131" t="s">
        <v>10</v>
      </c>
      <c r="B1370" s="131">
        <v>1</v>
      </c>
    </row>
    <row r="1371" spans="1:2" x14ac:dyDescent="0.25">
      <c r="A1371" s="131" t="s">
        <v>76</v>
      </c>
      <c r="B1371" s="131">
        <v>1</v>
      </c>
    </row>
    <row r="1372" spans="1:2" x14ac:dyDescent="0.25">
      <c r="A1372" s="131" t="s">
        <v>76</v>
      </c>
      <c r="B1372" s="131">
        <v>1</v>
      </c>
    </row>
    <row r="1373" spans="1:2" x14ac:dyDescent="0.25">
      <c r="A1373" s="131" t="s">
        <v>41</v>
      </c>
      <c r="B1373" s="131">
        <v>1</v>
      </c>
    </row>
    <row r="1374" spans="1:2" x14ac:dyDescent="0.25">
      <c r="A1374" s="131" t="s">
        <v>62</v>
      </c>
      <c r="B1374" s="131">
        <v>1</v>
      </c>
    </row>
    <row r="1375" spans="1:2" x14ac:dyDescent="0.25">
      <c r="A1375" s="131" t="s">
        <v>45</v>
      </c>
      <c r="B1375" s="131">
        <v>1</v>
      </c>
    </row>
    <row r="1376" spans="1:2" x14ac:dyDescent="0.25">
      <c r="A1376" s="131" t="s">
        <v>10</v>
      </c>
      <c r="B1376" s="131">
        <v>1</v>
      </c>
    </row>
    <row r="1377" spans="1:2" x14ac:dyDescent="0.25">
      <c r="A1377" s="131" t="s">
        <v>66</v>
      </c>
      <c r="B1377" s="131">
        <v>1</v>
      </c>
    </row>
    <row r="1378" spans="1:2" x14ac:dyDescent="0.25">
      <c r="A1378" s="131" t="s">
        <v>82</v>
      </c>
      <c r="B1378" s="131">
        <v>1</v>
      </c>
    </row>
    <row r="1379" spans="1:2" x14ac:dyDescent="0.25">
      <c r="A1379" s="131" t="s">
        <v>43</v>
      </c>
      <c r="B1379" s="131">
        <v>1</v>
      </c>
    </row>
    <row r="1380" spans="1:2" x14ac:dyDescent="0.25">
      <c r="A1380" s="131" t="s">
        <v>76</v>
      </c>
      <c r="B1380" s="131">
        <v>1</v>
      </c>
    </row>
    <row r="1381" spans="1:2" x14ac:dyDescent="0.25">
      <c r="A1381" s="131" t="s">
        <v>60</v>
      </c>
      <c r="B1381" s="131">
        <v>1</v>
      </c>
    </row>
    <row r="1382" spans="1:2" x14ac:dyDescent="0.25">
      <c r="A1382" s="131" t="s">
        <v>78</v>
      </c>
      <c r="B1382" s="131">
        <v>1</v>
      </c>
    </row>
    <row r="1383" spans="1:2" x14ac:dyDescent="0.25">
      <c r="A1383" s="131" t="s">
        <v>50</v>
      </c>
      <c r="B1383" s="131">
        <v>1</v>
      </c>
    </row>
    <row r="1384" spans="1:2" x14ac:dyDescent="0.25">
      <c r="A1384" s="131" t="s">
        <v>60</v>
      </c>
      <c r="B1384" s="131">
        <v>1</v>
      </c>
    </row>
    <row r="1385" spans="1:2" x14ac:dyDescent="0.25">
      <c r="A1385" s="131" t="s">
        <v>50</v>
      </c>
      <c r="B1385" s="131">
        <v>1</v>
      </c>
    </row>
    <row r="1386" spans="1:2" x14ac:dyDescent="0.25">
      <c r="A1386" s="131" t="s">
        <v>93</v>
      </c>
      <c r="B1386" s="131">
        <v>1</v>
      </c>
    </row>
    <row r="1387" spans="1:2" x14ac:dyDescent="0.25">
      <c r="A1387" s="131" t="s">
        <v>29</v>
      </c>
      <c r="B1387" s="131">
        <v>1</v>
      </c>
    </row>
    <row r="1388" spans="1:2" x14ac:dyDescent="0.25">
      <c r="A1388" s="131" t="s">
        <v>76</v>
      </c>
      <c r="B1388" s="131">
        <v>1</v>
      </c>
    </row>
    <row r="1389" spans="1:2" x14ac:dyDescent="0.25">
      <c r="A1389" s="131" t="s">
        <v>43</v>
      </c>
      <c r="B1389" s="131">
        <v>1</v>
      </c>
    </row>
    <row r="1390" spans="1:2" x14ac:dyDescent="0.25">
      <c r="A1390" s="131" t="s">
        <v>43</v>
      </c>
      <c r="B1390" s="131">
        <v>1</v>
      </c>
    </row>
    <row r="1391" spans="1:2" x14ac:dyDescent="0.25">
      <c r="A1391" s="131" t="s">
        <v>43</v>
      </c>
      <c r="B1391" s="131">
        <v>1</v>
      </c>
    </row>
    <row r="1392" spans="1:2" x14ac:dyDescent="0.25">
      <c r="A1392" s="131" t="s">
        <v>50</v>
      </c>
      <c r="B1392" s="131">
        <v>1</v>
      </c>
    </row>
    <row r="1393" spans="1:2" x14ac:dyDescent="0.25">
      <c r="A1393" s="131" t="s">
        <v>41</v>
      </c>
      <c r="B1393" s="131">
        <v>1</v>
      </c>
    </row>
    <row r="1394" spans="1:2" x14ac:dyDescent="0.25">
      <c r="A1394" s="131" t="s">
        <v>76</v>
      </c>
      <c r="B1394" s="131">
        <v>1</v>
      </c>
    </row>
    <row r="1395" spans="1:2" x14ac:dyDescent="0.25">
      <c r="A1395" s="131" t="s">
        <v>78</v>
      </c>
      <c r="B1395" s="131">
        <v>1</v>
      </c>
    </row>
    <row r="1396" spans="1:2" x14ac:dyDescent="0.25">
      <c r="A1396" s="131" t="s">
        <v>53</v>
      </c>
      <c r="B1396" s="131">
        <v>1</v>
      </c>
    </row>
    <row r="1397" spans="1:2" x14ac:dyDescent="0.25">
      <c r="A1397" s="131" t="s">
        <v>55</v>
      </c>
      <c r="B1397" s="131">
        <v>1</v>
      </c>
    </row>
    <row r="1398" spans="1:2" x14ac:dyDescent="0.25">
      <c r="A1398" s="131" t="s">
        <v>10</v>
      </c>
      <c r="B1398" s="131">
        <v>1</v>
      </c>
    </row>
    <row r="1399" spans="1:2" x14ac:dyDescent="0.25">
      <c r="A1399" s="131" t="s">
        <v>41</v>
      </c>
      <c r="B1399" s="131">
        <v>1</v>
      </c>
    </row>
    <row r="1400" spans="1:2" x14ac:dyDescent="0.25">
      <c r="A1400" s="131" t="s">
        <v>46</v>
      </c>
      <c r="B1400" s="131">
        <v>1</v>
      </c>
    </row>
    <row r="1401" spans="1:2" x14ac:dyDescent="0.25">
      <c r="A1401" s="131" t="s">
        <v>93</v>
      </c>
      <c r="B1401" s="131">
        <v>1</v>
      </c>
    </row>
    <row r="1402" spans="1:2" x14ac:dyDescent="0.25">
      <c r="A1402" s="131" t="s">
        <v>10</v>
      </c>
      <c r="B1402" s="131">
        <v>1</v>
      </c>
    </row>
    <row r="1403" spans="1:2" x14ac:dyDescent="0.25">
      <c r="A1403" s="131" t="s">
        <v>46</v>
      </c>
      <c r="B1403" s="131">
        <v>1</v>
      </c>
    </row>
    <row r="1404" spans="1:2" x14ac:dyDescent="0.25">
      <c r="A1404" s="131" t="s">
        <v>66</v>
      </c>
      <c r="B1404" s="131">
        <v>1</v>
      </c>
    </row>
    <row r="1405" spans="1:2" x14ac:dyDescent="0.25">
      <c r="A1405" s="131" t="s">
        <v>47</v>
      </c>
      <c r="B1405" s="131">
        <v>1</v>
      </c>
    </row>
    <row r="1406" spans="1:2" x14ac:dyDescent="0.25">
      <c r="A1406" s="131" t="s">
        <v>43</v>
      </c>
      <c r="B1406" s="131">
        <v>1</v>
      </c>
    </row>
    <row r="1407" spans="1:2" x14ac:dyDescent="0.25">
      <c r="A1407" s="131" t="s">
        <v>43</v>
      </c>
      <c r="B1407" s="131">
        <v>1</v>
      </c>
    </row>
    <row r="1408" spans="1:2" x14ac:dyDescent="0.25">
      <c r="A1408" s="131" t="s">
        <v>43</v>
      </c>
      <c r="B1408" s="131">
        <v>1</v>
      </c>
    </row>
    <row r="1409" spans="1:2" x14ac:dyDescent="0.25">
      <c r="A1409" s="131" t="s">
        <v>41</v>
      </c>
      <c r="B1409" s="131">
        <v>1</v>
      </c>
    </row>
    <row r="1410" spans="1:2" x14ac:dyDescent="0.25">
      <c r="A1410" s="131" t="s">
        <v>43</v>
      </c>
      <c r="B1410" s="131">
        <v>1</v>
      </c>
    </row>
    <row r="1411" spans="1:2" x14ac:dyDescent="0.25">
      <c r="A1411" s="131" t="s">
        <v>74</v>
      </c>
      <c r="B1411" s="131">
        <v>1</v>
      </c>
    </row>
    <row r="1412" spans="1:2" x14ac:dyDescent="0.25">
      <c r="A1412" s="131" t="s">
        <v>60</v>
      </c>
      <c r="B1412" s="131">
        <v>1</v>
      </c>
    </row>
    <row r="1413" spans="1:2" x14ac:dyDescent="0.25">
      <c r="A1413" s="131" t="s">
        <v>58</v>
      </c>
      <c r="B1413" s="131">
        <v>1</v>
      </c>
    </row>
    <row r="1414" spans="1:2" x14ac:dyDescent="0.25">
      <c r="A1414" s="131" t="s">
        <v>46</v>
      </c>
      <c r="B1414" s="131">
        <v>1</v>
      </c>
    </row>
    <row r="1415" spans="1:2" x14ac:dyDescent="0.25">
      <c r="A1415" s="131" t="s">
        <v>29</v>
      </c>
      <c r="B1415" s="131">
        <v>1</v>
      </c>
    </row>
    <row r="1416" spans="1:2" x14ac:dyDescent="0.25">
      <c r="A1416" s="131" t="s">
        <v>50</v>
      </c>
      <c r="B1416" s="131">
        <v>1</v>
      </c>
    </row>
    <row r="1417" spans="1:2" x14ac:dyDescent="0.25">
      <c r="A1417" s="131" t="s">
        <v>55</v>
      </c>
      <c r="B1417" s="131">
        <v>1</v>
      </c>
    </row>
    <row r="1418" spans="1:2" x14ac:dyDescent="0.25">
      <c r="A1418" s="131" t="s">
        <v>29</v>
      </c>
      <c r="B1418" s="131">
        <v>1</v>
      </c>
    </row>
    <row r="1419" spans="1:2" x14ac:dyDescent="0.25">
      <c r="A1419" s="131" t="s">
        <v>10</v>
      </c>
      <c r="B1419" s="131">
        <v>1</v>
      </c>
    </row>
    <row r="1420" spans="1:2" x14ac:dyDescent="0.25">
      <c r="A1420" s="131" t="s">
        <v>36</v>
      </c>
      <c r="B1420" s="131">
        <v>1</v>
      </c>
    </row>
    <row r="1421" spans="1:2" x14ac:dyDescent="0.25">
      <c r="A1421" s="131" t="s">
        <v>50</v>
      </c>
      <c r="B1421" s="131">
        <v>1</v>
      </c>
    </row>
    <row r="1422" spans="1:2" x14ac:dyDescent="0.25">
      <c r="A1422" s="131" t="s">
        <v>93</v>
      </c>
      <c r="B1422" s="131">
        <v>1</v>
      </c>
    </row>
    <row r="1423" spans="1:2" x14ac:dyDescent="0.25">
      <c r="A1423" s="131" t="s">
        <v>43</v>
      </c>
      <c r="B1423" s="131">
        <v>1</v>
      </c>
    </row>
    <row r="1424" spans="1:2" x14ac:dyDescent="0.25">
      <c r="A1424" s="131" t="s">
        <v>46</v>
      </c>
      <c r="B1424" s="131">
        <v>1</v>
      </c>
    </row>
    <row r="1425" spans="1:2" x14ac:dyDescent="0.25">
      <c r="A1425" s="131" t="s">
        <v>46</v>
      </c>
      <c r="B1425" s="131">
        <v>1</v>
      </c>
    </row>
    <row r="1426" spans="1:2" x14ac:dyDescent="0.25">
      <c r="A1426" s="131" t="s">
        <v>74</v>
      </c>
      <c r="B1426" s="131">
        <v>1</v>
      </c>
    </row>
    <row r="1427" spans="1:2" x14ac:dyDescent="0.25">
      <c r="A1427" s="131" t="s">
        <v>50</v>
      </c>
      <c r="B1427" s="131">
        <v>1</v>
      </c>
    </row>
    <row r="1428" spans="1:2" x14ac:dyDescent="0.25">
      <c r="A1428" s="131" t="s">
        <v>43</v>
      </c>
      <c r="B1428" s="131">
        <v>1</v>
      </c>
    </row>
    <row r="1429" spans="1:2" x14ac:dyDescent="0.25">
      <c r="A1429" s="131" t="s">
        <v>93</v>
      </c>
      <c r="B1429" s="131">
        <v>1</v>
      </c>
    </row>
    <row r="1430" spans="1:2" x14ac:dyDescent="0.25">
      <c r="A1430" s="131" t="s">
        <v>76</v>
      </c>
      <c r="B1430" s="131">
        <v>1</v>
      </c>
    </row>
    <row r="1431" spans="1:2" x14ac:dyDescent="0.25">
      <c r="A1431" s="131" t="s">
        <v>84</v>
      </c>
      <c r="B1431" s="131">
        <v>1</v>
      </c>
    </row>
    <row r="1432" spans="1:2" x14ac:dyDescent="0.25">
      <c r="A1432" s="131" t="s">
        <v>76</v>
      </c>
      <c r="B1432" s="131">
        <v>1</v>
      </c>
    </row>
    <row r="1433" spans="1:2" x14ac:dyDescent="0.25">
      <c r="A1433" s="131" t="s">
        <v>10</v>
      </c>
      <c r="B1433" s="131">
        <v>1</v>
      </c>
    </row>
    <row r="1434" spans="1:2" x14ac:dyDescent="0.25">
      <c r="A1434" s="131" t="s">
        <v>45</v>
      </c>
      <c r="B1434" s="131">
        <v>1</v>
      </c>
    </row>
    <row r="1435" spans="1:2" x14ac:dyDescent="0.25">
      <c r="A1435" s="131" t="s">
        <v>43</v>
      </c>
      <c r="B1435" s="131">
        <v>1</v>
      </c>
    </row>
    <row r="1436" spans="1:2" x14ac:dyDescent="0.25">
      <c r="A1436" s="131" t="s">
        <v>76</v>
      </c>
      <c r="B1436" s="131">
        <v>1</v>
      </c>
    </row>
    <row r="1437" spans="1:2" x14ac:dyDescent="0.25">
      <c r="A1437" s="131" t="s">
        <v>55</v>
      </c>
      <c r="B1437" s="131">
        <v>1</v>
      </c>
    </row>
    <row r="1438" spans="1:2" x14ac:dyDescent="0.25">
      <c r="A1438" s="131" t="s">
        <v>74</v>
      </c>
      <c r="B1438" s="131">
        <v>1</v>
      </c>
    </row>
    <row r="1439" spans="1:2" x14ac:dyDescent="0.25">
      <c r="A1439" s="131" t="s">
        <v>60</v>
      </c>
      <c r="B1439" s="131">
        <v>1</v>
      </c>
    </row>
    <row r="1440" spans="1:2" x14ac:dyDescent="0.25">
      <c r="A1440" s="131" t="s">
        <v>76</v>
      </c>
      <c r="B1440" s="131">
        <v>1</v>
      </c>
    </row>
    <row r="1441" spans="1:2" x14ac:dyDescent="0.25">
      <c r="A1441" s="131" t="s">
        <v>55</v>
      </c>
      <c r="B1441" s="131">
        <v>1</v>
      </c>
    </row>
    <row r="1442" spans="1:2" x14ac:dyDescent="0.25">
      <c r="A1442" s="131" t="s">
        <v>60</v>
      </c>
      <c r="B1442" s="131">
        <v>1</v>
      </c>
    </row>
    <row r="1443" spans="1:2" x14ac:dyDescent="0.25">
      <c r="A1443" s="131" t="s">
        <v>89</v>
      </c>
      <c r="B1443" s="131">
        <v>1</v>
      </c>
    </row>
    <row r="1444" spans="1:2" x14ac:dyDescent="0.25">
      <c r="A1444" s="131" t="s">
        <v>84</v>
      </c>
      <c r="B1444" s="131">
        <v>1</v>
      </c>
    </row>
    <row r="1445" spans="1:2" x14ac:dyDescent="0.25">
      <c r="A1445" s="131" t="s">
        <v>10</v>
      </c>
      <c r="B1445" s="131">
        <v>1</v>
      </c>
    </row>
    <row r="1446" spans="1:2" x14ac:dyDescent="0.25">
      <c r="A1446" s="131" t="s">
        <v>10</v>
      </c>
      <c r="B1446" s="131">
        <v>1</v>
      </c>
    </row>
    <row r="1447" spans="1:2" x14ac:dyDescent="0.25">
      <c r="A1447" s="131" t="s">
        <v>58</v>
      </c>
      <c r="B1447" s="131">
        <v>1</v>
      </c>
    </row>
    <row r="1448" spans="1:2" x14ac:dyDescent="0.25">
      <c r="A1448" s="131" t="s">
        <v>10</v>
      </c>
      <c r="B1448" s="131">
        <v>1</v>
      </c>
    </row>
    <row r="1449" spans="1:2" x14ac:dyDescent="0.25">
      <c r="A1449" s="131" t="s">
        <v>62</v>
      </c>
      <c r="B1449" s="131">
        <v>1</v>
      </c>
    </row>
    <row r="1450" spans="1:2" x14ac:dyDescent="0.25">
      <c r="A1450" s="131" t="s">
        <v>33</v>
      </c>
      <c r="B1450" s="131">
        <v>1</v>
      </c>
    </row>
    <row r="1451" spans="1:2" x14ac:dyDescent="0.25">
      <c r="A1451" s="131" t="s">
        <v>50</v>
      </c>
      <c r="B1451" s="131">
        <v>1</v>
      </c>
    </row>
    <row r="1452" spans="1:2" x14ac:dyDescent="0.25">
      <c r="A1452" s="131" t="s">
        <v>10</v>
      </c>
      <c r="B1452" s="131">
        <v>1</v>
      </c>
    </row>
    <row r="1453" spans="1:2" x14ac:dyDescent="0.25">
      <c r="A1453" s="131" t="s">
        <v>74</v>
      </c>
      <c r="B1453" s="131">
        <v>1</v>
      </c>
    </row>
    <row r="1454" spans="1:2" x14ac:dyDescent="0.25">
      <c r="A1454" s="131" t="s">
        <v>74</v>
      </c>
      <c r="B1454" s="131">
        <v>1</v>
      </c>
    </row>
    <row r="1455" spans="1:2" x14ac:dyDescent="0.25">
      <c r="A1455" s="131" t="s">
        <v>10</v>
      </c>
      <c r="B1455" s="131">
        <v>1</v>
      </c>
    </row>
    <row r="1456" spans="1:2" x14ac:dyDescent="0.25">
      <c r="A1456" s="131" t="s">
        <v>10</v>
      </c>
      <c r="B1456" s="131">
        <v>1</v>
      </c>
    </row>
    <row r="1457" spans="1:2" x14ac:dyDescent="0.25">
      <c r="A1457" s="131" t="s">
        <v>58</v>
      </c>
      <c r="B1457" s="131">
        <v>1</v>
      </c>
    </row>
    <row r="1458" spans="1:2" x14ac:dyDescent="0.25">
      <c r="A1458" s="131" t="s">
        <v>86</v>
      </c>
      <c r="B1458" s="131">
        <v>1</v>
      </c>
    </row>
    <row r="1459" spans="1:2" x14ac:dyDescent="0.25">
      <c r="A1459" s="131" t="s">
        <v>86</v>
      </c>
      <c r="B1459" s="131">
        <v>1</v>
      </c>
    </row>
    <row r="1460" spans="1:2" x14ac:dyDescent="0.25">
      <c r="A1460" s="131" t="s">
        <v>36</v>
      </c>
      <c r="B1460" s="131">
        <v>1</v>
      </c>
    </row>
    <row r="1461" spans="1:2" x14ac:dyDescent="0.25">
      <c r="A1461" s="131" t="s">
        <v>86</v>
      </c>
      <c r="B1461" s="131">
        <v>1</v>
      </c>
    </row>
    <row r="1462" spans="1:2" x14ac:dyDescent="0.25">
      <c r="A1462" s="131" t="s">
        <v>86</v>
      </c>
      <c r="B1462" s="131">
        <v>1</v>
      </c>
    </row>
    <row r="1463" spans="1:2" x14ac:dyDescent="0.25">
      <c r="A1463" s="131" t="s">
        <v>47</v>
      </c>
      <c r="B1463" s="131">
        <v>1</v>
      </c>
    </row>
    <row r="1464" spans="1:2" x14ac:dyDescent="0.25">
      <c r="A1464" s="131" t="s">
        <v>86</v>
      </c>
      <c r="B1464" s="131">
        <v>1</v>
      </c>
    </row>
    <row r="1465" spans="1:2" x14ac:dyDescent="0.25">
      <c r="A1465" s="131" t="s">
        <v>74</v>
      </c>
      <c r="B1465" s="131">
        <v>1</v>
      </c>
    </row>
    <row r="1466" spans="1:2" x14ac:dyDescent="0.25">
      <c r="A1466" s="131" t="s">
        <v>10</v>
      </c>
      <c r="B1466" s="131">
        <v>1</v>
      </c>
    </row>
    <row r="1467" spans="1:2" x14ac:dyDescent="0.25">
      <c r="A1467" s="131" t="s">
        <v>60</v>
      </c>
      <c r="B1467" s="131">
        <v>1</v>
      </c>
    </row>
    <row r="1468" spans="1:2" x14ac:dyDescent="0.25">
      <c r="A1468" s="131" t="s">
        <v>76</v>
      </c>
      <c r="B1468" s="131">
        <v>1</v>
      </c>
    </row>
    <row r="1469" spans="1:2" x14ac:dyDescent="0.25">
      <c r="A1469" s="131" t="s">
        <v>50</v>
      </c>
      <c r="B1469" s="131">
        <v>1</v>
      </c>
    </row>
    <row r="1470" spans="1:2" x14ac:dyDescent="0.25">
      <c r="A1470" s="131" t="s">
        <v>74</v>
      </c>
      <c r="B1470" s="131">
        <v>1</v>
      </c>
    </row>
    <row r="1471" spans="1:2" x14ac:dyDescent="0.25">
      <c r="A1471" s="131" t="s">
        <v>74</v>
      </c>
      <c r="B1471" s="131">
        <v>1</v>
      </c>
    </row>
    <row r="1472" spans="1:2" x14ac:dyDescent="0.25">
      <c r="A1472" s="131" t="s">
        <v>48</v>
      </c>
      <c r="B1472" s="131">
        <v>1</v>
      </c>
    </row>
    <row r="1473" spans="1:2" x14ac:dyDescent="0.25">
      <c r="A1473" s="131" t="s">
        <v>43</v>
      </c>
      <c r="B1473" s="131">
        <v>1</v>
      </c>
    </row>
    <row r="1474" spans="1:2" x14ac:dyDescent="0.25">
      <c r="A1474" s="131" t="s">
        <v>43</v>
      </c>
      <c r="B1474" s="131">
        <v>1</v>
      </c>
    </row>
    <row r="1475" spans="1:2" x14ac:dyDescent="0.25">
      <c r="A1475" s="131" t="s">
        <v>76</v>
      </c>
      <c r="B1475" s="131">
        <v>1</v>
      </c>
    </row>
    <row r="1476" spans="1:2" x14ac:dyDescent="0.25">
      <c r="A1476" s="131" t="s">
        <v>87</v>
      </c>
      <c r="B1476" s="131">
        <v>1</v>
      </c>
    </row>
    <row r="1477" spans="1:2" x14ac:dyDescent="0.25">
      <c r="A1477" s="131" t="s">
        <v>47</v>
      </c>
      <c r="B1477" s="131">
        <v>1</v>
      </c>
    </row>
    <row r="1478" spans="1:2" x14ac:dyDescent="0.25">
      <c r="A1478" s="131" t="s">
        <v>76</v>
      </c>
      <c r="B1478" s="131">
        <v>1</v>
      </c>
    </row>
    <row r="1479" spans="1:2" x14ac:dyDescent="0.25">
      <c r="A1479" s="131" t="s">
        <v>48</v>
      </c>
      <c r="B1479" s="131">
        <v>1</v>
      </c>
    </row>
    <row r="1480" spans="1:2" x14ac:dyDescent="0.25">
      <c r="A1480" s="131" t="s">
        <v>76</v>
      </c>
      <c r="B1480" s="131">
        <v>1</v>
      </c>
    </row>
    <row r="1481" spans="1:2" x14ac:dyDescent="0.25">
      <c r="A1481" s="131" t="s">
        <v>47</v>
      </c>
      <c r="B1481" s="131">
        <v>1</v>
      </c>
    </row>
    <row r="1482" spans="1:2" x14ac:dyDescent="0.25">
      <c r="A1482" s="131" t="s">
        <v>60</v>
      </c>
      <c r="B1482" s="131">
        <v>1</v>
      </c>
    </row>
    <row r="1483" spans="1:2" x14ac:dyDescent="0.25">
      <c r="A1483" s="131" t="s">
        <v>76</v>
      </c>
      <c r="B1483" s="131">
        <v>1</v>
      </c>
    </row>
    <row r="1484" spans="1:2" x14ac:dyDescent="0.25">
      <c r="A1484" s="131" t="s">
        <v>74</v>
      </c>
      <c r="B1484" s="131">
        <v>1</v>
      </c>
    </row>
    <row r="1485" spans="1:2" x14ac:dyDescent="0.25">
      <c r="A1485" s="131" t="s">
        <v>47</v>
      </c>
      <c r="B1485" s="131">
        <v>1</v>
      </c>
    </row>
    <row r="1486" spans="1:2" x14ac:dyDescent="0.25">
      <c r="A1486" s="131" t="s">
        <v>78</v>
      </c>
      <c r="B1486" s="131">
        <v>1</v>
      </c>
    </row>
    <row r="1487" spans="1:2" x14ac:dyDescent="0.25">
      <c r="A1487" s="131" t="s">
        <v>60</v>
      </c>
      <c r="B1487" s="131">
        <v>1</v>
      </c>
    </row>
    <row r="1488" spans="1:2" x14ac:dyDescent="0.25">
      <c r="A1488" s="131" t="s">
        <v>60</v>
      </c>
      <c r="B1488" s="131">
        <v>1</v>
      </c>
    </row>
    <row r="1489" spans="1:2" x14ac:dyDescent="0.25">
      <c r="A1489" s="131" t="s">
        <v>10</v>
      </c>
      <c r="B1489" s="131">
        <v>1</v>
      </c>
    </row>
    <row r="1490" spans="1:2" x14ac:dyDescent="0.25">
      <c r="A1490" s="131" t="s">
        <v>76</v>
      </c>
      <c r="B1490" s="131">
        <v>1</v>
      </c>
    </row>
    <row r="1491" spans="1:2" x14ac:dyDescent="0.25">
      <c r="A1491" s="131" t="s">
        <v>76</v>
      </c>
      <c r="B1491" s="131">
        <v>1</v>
      </c>
    </row>
    <row r="1492" spans="1:2" x14ac:dyDescent="0.25">
      <c r="A1492" s="131" t="s">
        <v>74</v>
      </c>
      <c r="B1492" s="131">
        <v>1</v>
      </c>
    </row>
    <row r="1493" spans="1:2" x14ac:dyDescent="0.25">
      <c r="A1493" s="131" t="s">
        <v>74</v>
      </c>
      <c r="B1493" s="131">
        <v>1</v>
      </c>
    </row>
    <row r="1494" spans="1:2" x14ac:dyDescent="0.25">
      <c r="A1494" s="131" t="s">
        <v>55</v>
      </c>
      <c r="B1494" s="131">
        <v>1</v>
      </c>
    </row>
    <row r="1495" spans="1:2" x14ac:dyDescent="0.25">
      <c r="A1495" s="131" t="s">
        <v>43</v>
      </c>
      <c r="B1495" s="131">
        <v>1</v>
      </c>
    </row>
    <row r="1496" spans="1:2" x14ac:dyDescent="0.25">
      <c r="A1496" s="131" t="s">
        <v>55</v>
      </c>
      <c r="B1496" s="131">
        <v>1</v>
      </c>
    </row>
    <row r="1497" spans="1:2" x14ac:dyDescent="0.25">
      <c r="A1497" s="131" t="s">
        <v>55</v>
      </c>
      <c r="B1497" s="131">
        <v>1</v>
      </c>
    </row>
    <row r="1498" spans="1:2" x14ac:dyDescent="0.25">
      <c r="A1498" s="131" t="s">
        <v>46</v>
      </c>
      <c r="B1498" s="131">
        <v>1</v>
      </c>
    </row>
    <row r="1499" spans="1:2" x14ac:dyDescent="0.25">
      <c r="A1499" s="131" t="s">
        <v>71</v>
      </c>
      <c r="B1499" s="131">
        <v>1</v>
      </c>
    </row>
    <row r="1500" spans="1:2" x14ac:dyDescent="0.25">
      <c r="A1500" s="131" t="s">
        <v>74</v>
      </c>
      <c r="B1500" s="131">
        <v>1</v>
      </c>
    </row>
    <row r="1501" spans="1:2" x14ac:dyDescent="0.25">
      <c r="A1501" s="131" t="s">
        <v>10</v>
      </c>
      <c r="B1501" s="131">
        <v>1</v>
      </c>
    </row>
    <row r="1502" spans="1:2" x14ac:dyDescent="0.25">
      <c r="A1502" s="131" t="s">
        <v>36</v>
      </c>
      <c r="B1502" s="131">
        <v>1</v>
      </c>
    </row>
    <row r="1503" spans="1:2" x14ac:dyDescent="0.25">
      <c r="A1503" s="131" t="s">
        <v>47</v>
      </c>
      <c r="B1503" s="131">
        <v>1</v>
      </c>
    </row>
    <row r="1504" spans="1:2" x14ac:dyDescent="0.25">
      <c r="A1504" s="131" t="s">
        <v>97</v>
      </c>
      <c r="B1504" s="131">
        <v>1</v>
      </c>
    </row>
    <row r="1505" spans="1:2" x14ac:dyDescent="0.25">
      <c r="A1505" s="131" t="s">
        <v>74</v>
      </c>
      <c r="B1505" s="131">
        <v>1</v>
      </c>
    </row>
    <row r="1506" spans="1:2" x14ac:dyDescent="0.25">
      <c r="A1506" s="131" t="s">
        <v>10</v>
      </c>
      <c r="B1506" s="131">
        <v>1</v>
      </c>
    </row>
    <row r="1507" spans="1:2" x14ac:dyDescent="0.25">
      <c r="A1507" s="131" t="s">
        <v>10</v>
      </c>
      <c r="B1507" s="131">
        <v>1</v>
      </c>
    </row>
    <row r="1508" spans="1:2" x14ac:dyDescent="0.25">
      <c r="A1508" s="131" t="s">
        <v>10</v>
      </c>
      <c r="B1508" s="131">
        <v>1</v>
      </c>
    </row>
    <row r="1509" spans="1:2" x14ac:dyDescent="0.25">
      <c r="A1509" s="131" t="s">
        <v>43</v>
      </c>
      <c r="B1509" s="131">
        <v>1</v>
      </c>
    </row>
    <row r="1510" spans="1:2" x14ac:dyDescent="0.25">
      <c r="A1510" s="131" t="s">
        <v>43</v>
      </c>
      <c r="B1510" s="131">
        <v>1</v>
      </c>
    </row>
    <row r="1511" spans="1:2" x14ac:dyDescent="0.25">
      <c r="A1511" s="131" t="s">
        <v>76</v>
      </c>
      <c r="B1511" s="131">
        <v>1</v>
      </c>
    </row>
    <row r="1512" spans="1:2" x14ac:dyDescent="0.25">
      <c r="A1512" s="131" t="s">
        <v>76</v>
      </c>
      <c r="B1512" s="131">
        <v>1</v>
      </c>
    </row>
    <row r="1513" spans="1:2" x14ac:dyDescent="0.25">
      <c r="A1513" s="131" t="s">
        <v>43</v>
      </c>
      <c r="B1513" s="131">
        <v>1</v>
      </c>
    </row>
    <row r="1514" spans="1:2" x14ac:dyDescent="0.25">
      <c r="A1514" s="131" t="s">
        <v>43</v>
      </c>
      <c r="B1514" s="131">
        <v>1</v>
      </c>
    </row>
    <row r="1515" spans="1:2" x14ac:dyDescent="0.25">
      <c r="A1515" s="131" t="s">
        <v>46</v>
      </c>
      <c r="B1515" s="131">
        <v>1</v>
      </c>
    </row>
    <row r="1516" spans="1:2" x14ac:dyDescent="0.25">
      <c r="A1516" s="131" t="s">
        <v>46</v>
      </c>
      <c r="B1516" s="131">
        <v>1</v>
      </c>
    </row>
    <row r="1517" spans="1:2" x14ac:dyDescent="0.25">
      <c r="A1517" s="131" t="s">
        <v>74</v>
      </c>
      <c r="B1517" s="131">
        <v>1</v>
      </c>
    </row>
    <row r="1518" spans="1:2" x14ac:dyDescent="0.25">
      <c r="A1518" s="131" t="s">
        <v>53</v>
      </c>
      <c r="B1518" s="131">
        <v>1</v>
      </c>
    </row>
    <row r="1519" spans="1:2" x14ac:dyDescent="0.25">
      <c r="A1519" s="131" t="s">
        <v>74</v>
      </c>
      <c r="B1519" s="131">
        <v>1</v>
      </c>
    </row>
    <row r="1520" spans="1:2" x14ac:dyDescent="0.25">
      <c r="A1520" s="131" t="s">
        <v>50</v>
      </c>
      <c r="B1520" s="131">
        <v>1</v>
      </c>
    </row>
    <row r="1521" spans="1:2" x14ac:dyDescent="0.25">
      <c r="A1521" s="131" t="s">
        <v>76</v>
      </c>
      <c r="B1521" s="131">
        <v>1</v>
      </c>
    </row>
    <row r="1522" spans="1:2" x14ac:dyDescent="0.25">
      <c r="A1522" s="131" t="s">
        <v>50</v>
      </c>
      <c r="B1522" s="131">
        <v>1</v>
      </c>
    </row>
    <row r="1523" spans="1:2" x14ac:dyDescent="0.25">
      <c r="A1523" s="131" t="s">
        <v>78</v>
      </c>
      <c r="B1523" s="131">
        <v>1</v>
      </c>
    </row>
    <row r="1524" spans="1:2" x14ac:dyDescent="0.25">
      <c r="A1524" s="131" t="s">
        <v>76</v>
      </c>
      <c r="B1524" s="131">
        <v>1</v>
      </c>
    </row>
    <row r="1525" spans="1:2" x14ac:dyDescent="0.25">
      <c r="A1525" s="131" t="s">
        <v>48</v>
      </c>
      <c r="B1525" s="131">
        <v>1</v>
      </c>
    </row>
    <row r="1526" spans="1:2" x14ac:dyDescent="0.25">
      <c r="A1526" s="131" t="s">
        <v>43</v>
      </c>
      <c r="B1526" s="131">
        <v>1</v>
      </c>
    </row>
    <row r="1527" spans="1:2" x14ac:dyDescent="0.25">
      <c r="A1527" s="131" t="s">
        <v>82</v>
      </c>
      <c r="B1527" s="131">
        <v>1</v>
      </c>
    </row>
    <row r="1528" spans="1:2" x14ac:dyDescent="0.25">
      <c r="A1528" s="131" t="s">
        <v>87</v>
      </c>
      <c r="B1528" s="131">
        <v>1</v>
      </c>
    </row>
    <row r="1529" spans="1:2" x14ac:dyDescent="0.25">
      <c r="A1529" s="131" t="s">
        <v>29</v>
      </c>
      <c r="B1529" s="131">
        <v>1</v>
      </c>
    </row>
    <row r="1530" spans="1:2" x14ac:dyDescent="0.25">
      <c r="A1530" s="131" t="s">
        <v>36</v>
      </c>
      <c r="B1530" s="131">
        <v>1</v>
      </c>
    </row>
    <row r="1531" spans="1:2" x14ac:dyDescent="0.25">
      <c r="A1531" s="131" t="s">
        <v>74</v>
      </c>
      <c r="B1531" s="131">
        <v>1</v>
      </c>
    </row>
    <row r="1532" spans="1:2" x14ac:dyDescent="0.25">
      <c r="A1532" s="131" t="s">
        <v>62</v>
      </c>
      <c r="B1532" s="131">
        <v>1</v>
      </c>
    </row>
    <row r="1533" spans="1:2" x14ac:dyDescent="0.25">
      <c r="A1533" s="131" t="s">
        <v>10</v>
      </c>
      <c r="B1533" s="131">
        <v>1</v>
      </c>
    </row>
    <row r="1534" spans="1:2" x14ac:dyDescent="0.25">
      <c r="A1534" s="131" t="s">
        <v>74</v>
      </c>
      <c r="B1534" s="131">
        <v>1</v>
      </c>
    </row>
    <row r="1535" spans="1:2" x14ac:dyDescent="0.25">
      <c r="A1535" s="131" t="s">
        <v>53</v>
      </c>
      <c r="B1535" s="131">
        <v>1</v>
      </c>
    </row>
    <row r="1536" spans="1:2" x14ac:dyDescent="0.25">
      <c r="A1536" s="131" t="s">
        <v>48</v>
      </c>
      <c r="B1536" s="131">
        <v>1</v>
      </c>
    </row>
    <row r="1537" spans="1:2" x14ac:dyDescent="0.25">
      <c r="A1537" s="131" t="s">
        <v>84</v>
      </c>
      <c r="B1537" s="131">
        <v>1</v>
      </c>
    </row>
    <row r="1538" spans="1:2" x14ac:dyDescent="0.25">
      <c r="A1538" s="131" t="s">
        <v>43</v>
      </c>
      <c r="B1538" s="131">
        <v>1</v>
      </c>
    </row>
    <row r="1539" spans="1:2" x14ac:dyDescent="0.25">
      <c r="A1539" s="131" t="s">
        <v>84</v>
      </c>
      <c r="B1539" s="131">
        <v>1</v>
      </c>
    </row>
    <row r="1540" spans="1:2" x14ac:dyDescent="0.25">
      <c r="A1540" s="131" t="s">
        <v>84</v>
      </c>
      <c r="B1540" s="131">
        <v>1</v>
      </c>
    </row>
    <row r="1541" spans="1:2" x14ac:dyDescent="0.25">
      <c r="A1541" s="131" t="s">
        <v>36</v>
      </c>
      <c r="B1541" s="131">
        <v>1</v>
      </c>
    </row>
    <row r="1542" spans="1:2" x14ac:dyDescent="0.25">
      <c r="A1542" s="131" t="s">
        <v>36</v>
      </c>
      <c r="B1542" s="131">
        <v>1</v>
      </c>
    </row>
    <row r="1543" spans="1:2" x14ac:dyDescent="0.25">
      <c r="A1543" s="131" t="s">
        <v>58</v>
      </c>
      <c r="B1543" s="131">
        <v>1</v>
      </c>
    </row>
    <row r="1544" spans="1:2" x14ac:dyDescent="0.25">
      <c r="A1544" s="131" t="s">
        <v>45</v>
      </c>
      <c r="B1544" s="131">
        <v>1</v>
      </c>
    </row>
    <row r="1545" spans="1:2" x14ac:dyDescent="0.25">
      <c r="A1545" s="131" t="s">
        <v>58</v>
      </c>
      <c r="B1545" s="131">
        <v>1</v>
      </c>
    </row>
    <row r="1546" spans="1:2" x14ac:dyDescent="0.25">
      <c r="A1546" s="131" t="s">
        <v>36</v>
      </c>
      <c r="B1546" s="131">
        <v>1</v>
      </c>
    </row>
    <row r="1547" spans="1:2" x14ac:dyDescent="0.25">
      <c r="A1547" s="131" t="s">
        <v>86</v>
      </c>
      <c r="B1547" s="131">
        <v>-1</v>
      </c>
    </row>
    <row r="1548" spans="1:2" x14ac:dyDescent="0.25">
      <c r="A1548" s="131" t="s">
        <v>78</v>
      </c>
      <c r="B1548" s="131">
        <v>1</v>
      </c>
    </row>
    <row r="1549" spans="1:2" x14ac:dyDescent="0.25">
      <c r="A1549" s="131" t="s">
        <v>78</v>
      </c>
      <c r="B1549" s="131">
        <v>1</v>
      </c>
    </row>
    <row r="1550" spans="1:2" x14ac:dyDescent="0.25">
      <c r="A1550" s="131" t="s">
        <v>43</v>
      </c>
      <c r="B1550" s="131">
        <v>1</v>
      </c>
    </row>
    <row r="1551" spans="1:2" x14ac:dyDescent="0.25">
      <c r="A1551" s="131" t="s">
        <v>43</v>
      </c>
      <c r="B1551" s="131">
        <v>1</v>
      </c>
    </row>
    <row r="1552" spans="1:2" x14ac:dyDescent="0.25">
      <c r="A1552" s="131" t="s">
        <v>74</v>
      </c>
      <c r="B1552" s="131">
        <v>1</v>
      </c>
    </row>
    <row r="1553" spans="1:2" x14ac:dyDescent="0.25">
      <c r="A1553" s="131" t="s">
        <v>41</v>
      </c>
      <c r="B1553" s="131">
        <v>1</v>
      </c>
    </row>
    <row r="1554" spans="1:2" x14ac:dyDescent="0.25">
      <c r="A1554" s="131" t="s">
        <v>48</v>
      </c>
      <c r="B1554" s="131">
        <v>1</v>
      </c>
    </row>
    <row r="1555" spans="1:2" x14ac:dyDescent="0.25">
      <c r="A1555" s="131" t="s">
        <v>43</v>
      </c>
      <c r="B1555" s="131">
        <v>1</v>
      </c>
    </row>
    <row r="1556" spans="1:2" x14ac:dyDescent="0.25">
      <c r="A1556" s="131" t="s">
        <v>10</v>
      </c>
      <c r="B1556" s="131">
        <v>1</v>
      </c>
    </row>
    <row r="1557" spans="1:2" x14ac:dyDescent="0.25">
      <c r="A1557" s="131" t="s">
        <v>10</v>
      </c>
      <c r="B1557" s="131">
        <v>1</v>
      </c>
    </row>
    <row r="1558" spans="1:2" x14ac:dyDescent="0.25">
      <c r="A1558" s="131" t="s">
        <v>68</v>
      </c>
      <c r="B1558" s="131">
        <v>1</v>
      </c>
    </row>
    <row r="1559" spans="1:2" x14ac:dyDescent="0.25">
      <c r="A1559" s="131" t="s">
        <v>71</v>
      </c>
      <c r="B1559" s="131">
        <v>1</v>
      </c>
    </row>
    <row r="1560" spans="1:2" x14ac:dyDescent="0.25">
      <c r="A1560" s="131" t="s">
        <v>36</v>
      </c>
      <c r="B1560" s="131">
        <v>1</v>
      </c>
    </row>
    <row r="1561" spans="1:2" x14ac:dyDescent="0.25">
      <c r="A1561" s="131" t="s">
        <v>55</v>
      </c>
      <c r="B1561" s="131">
        <v>1</v>
      </c>
    </row>
    <row r="1562" spans="1:2" x14ac:dyDescent="0.25">
      <c r="A1562" s="131" t="s">
        <v>74</v>
      </c>
      <c r="B1562" s="131">
        <v>1</v>
      </c>
    </row>
    <row r="1563" spans="1:2" x14ac:dyDescent="0.25">
      <c r="A1563" s="131" t="s">
        <v>74</v>
      </c>
      <c r="B1563" s="131">
        <v>1</v>
      </c>
    </row>
    <row r="1564" spans="1:2" x14ac:dyDescent="0.25">
      <c r="A1564" s="131" t="s">
        <v>74</v>
      </c>
      <c r="B1564" s="131">
        <v>1</v>
      </c>
    </row>
    <row r="1565" spans="1:2" x14ac:dyDescent="0.25">
      <c r="A1565" s="131" t="s">
        <v>82</v>
      </c>
      <c r="B1565" s="131">
        <v>1</v>
      </c>
    </row>
    <row r="1566" spans="1:2" x14ac:dyDescent="0.25">
      <c r="A1566" s="131" t="s">
        <v>93</v>
      </c>
      <c r="B1566" s="131">
        <v>1</v>
      </c>
    </row>
    <row r="1567" spans="1:2" x14ac:dyDescent="0.25">
      <c r="A1567" s="131" t="s">
        <v>43</v>
      </c>
      <c r="B1567" s="131">
        <v>1</v>
      </c>
    </row>
    <row r="1568" spans="1:2" x14ac:dyDescent="0.25">
      <c r="A1568" s="131" t="s">
        <v>43</v>
      </c>
      <c r="B1568" s="131">
        <v>1</v>
      </c>
    </row>
    <row r="1569" spans="1:2" x14ac:dyDescent="0.25">
      <c r="A1569" s="131" t="s">
        <v>43</v>
      </c>
      <c r="B1569" s="131">
        <v>1</v>
      </c>
    </row>
    <row r="1570" spans="1:2" x14ac:dyDescent="0.25">
      <c r="A1570" s="131" t="s">
        <v>43</v>
      </c>
      <c r="B1570" s="131">
        <v>1</v>
      </c>
    </row>
    <row r="1571" spans="1:2" x14ac:dyDescent="0.25">
      <c r="A1571" s="131" t="s">
        <v>74</v>
      </c>
      <c r="B1571" s="131">
        <v>1</v>
      </c>
    </row>
    <row r="1572" spans="1:2" x14ac:dyDescent="0.25">
      <c r="A1572" s="131" t="s">
        <v>76</v>
      </c>
      <c r="B1572" s="131">
        <v>1</v>
      </c>
    </row>
    <row r="1573" spans="1:2" x14ac:dyDescent="0.25">
      <c r="A1573" s="131" t="s">
        <v>50</v>
      </c>
      <c r="B1573" s="131">
        <v>1</v>
      </c>
    </row>
    <row r="1574" spans="1:2" x14ac:dyDescent="0.25">
      <c r="A1574" s="131" t="s">
        <v>74</v>
      </c>
      <c r="B1574" s="131">
        <v>1</v>
      </c>
    </row>
    <row r="1575" spans="1:2" x14ac:dyDescent="0.25">
      <c r="A1575" s="131" t="s">
        <v>50</v>
      </c>
      <c r="B1575" s="131">
        <v>1</v>
      </c>
    </row>
    <row r="1576" spans="1:2" x14ac:dyDescent="0.25">
      <c r="A1576" s="131" t="s">
        <v>36</v>
      </c>
      <c r="B1576" s="131">
        <v>1</v>
      </c>
    </row>
    <row r="1577" spans="1:2" x14ac:dyDescent="0.25">
      <c r="A1577" s="131" t="s">
        <v>29</v>
      </c>
      <c r="B1577" s="131">
        <v>1</v>
      </c>
    </row>
    <row r="1578" spans="1:2" x14ac:dyDescent="0.25">
      <c r="A1578" s="131" t="s">
        <v>45</v>
      </c>
      <c r="B1578" s="131">
        <v>1</v>
      </c>
    </row>
    <row r="1579" spans="1:2" x14ac:dyDescent="0.25">
      <c r="A1579" s="131" t="s">
        <v>45</v>
      </c>
      <c r="B1579" s="131">
        <v>1</v>
      </c>
    </row>
    <row r="1580" spans="1:2" x14ac:dyDescent="0.25">
      <c r="A1580" s="131" t="s">
        <v>45</v>
      </c>
      <c r="B1580" s="131">
        <v>1</v>
      </c>
    </row>
    <row r="1581" spans="1:2" x14ac:dyDescent="0.25">
      <c r="A1581" s="131" t="s">
        <v>89</v>
      </c>
      <c r="B1581" s="131">
        <v>1</v>
      </c>
    </row>
    <row r="1582" spans="1:2" x14ac:dyDescent="0.25">
      <c r="A1582" s="131" t="s">
        <v>89</v>
      </c>
      <c r="B1582" s="131">
        <v>1</v>
      </c>
    </row>
    <row r="1583" spans="1:2" x14ac:dyDescent="0.25">
      <c r="A1583" s="131" t="s">
        <v>84</v>
      </c>
      <c r="B1583" s="131">
        <v>1</v>
      </c>
    </row>
    <row r="1584" spans="1:2" x14ac:dyDescent="0.25">
      <c r="A1584" s="131" t="s">
        <v>29</v>
      </c>
      <c r="B1584" s="131">
        <v>1</v>
      </c>
    </row>
    <row r="1585" spans="1:2" x14ac:dyDescent="0.25">
      <c r="A1585" s="131" t="s">
        <v>36</v>
      </c>
      <c r="B1585" s="131">
        <v>1</v>
      </c>
    </row>
    <row r="1586" spans="1:2" x14ac:dyDescent="0.25">
      <c r="A1586" s="131" t="s">
        <v>82</v>
      </c>
      <c r="B1586" s="131">
        <v>1</v>
      </c>
    </row>
    <row r="1587" spans="1:2" x14ac:dyDescent="0.25">
      <c r="A1587" s="131" t="s">
        <v>82</v>
      </c>
      <c r="B1587" s="131">
        <v>1</v>
      </c>
    </row>
    <row r="1588" spans="1:2" x14ac:dyDescent="0.25">
      <c r="A1588" s="131" t="s">
        <v>50</v>
      </c>
      <c r="B1588" s="131">
        <v>1</v>
      </c>
    </row>
    <row r="1589" spans="1:2" x14ac:dyDescent="0.25">
      <c r="A1589" s="131" t="s">
        <v>78</v>
      </c>
      <c r="B1589" s="131">
        <v>1</v>
      </c>
    </row>
    <row r="1590" spans="1:2" x14ac:dyDescent="0.25">
      <c r="A1590" s="131" t="s">
        <v>82</v>
      </c>
      <c r="B1590" s="131">
        <v>1</v>
      </c>
    </row>
    <row r="1591" spans="1:2" x14ac:dyDescent="0.25">
      <c r="A1591" s="131" t="s">
        <v>36</v>
      </c>
      <c r="B1591" s="131">
        <v>1</v>
      </c>
    </row>
    <row r="1592" spans="1:2" x14ac:dyDescent="0.25">
      <c r="A1592" s="131" t="s">
        <v>36</v>
      </c>
      <c r="B1592" s="131">
        <v>1</v>
      </c>
    </row>
    <row r="1593" spans="1:2" x14ac:dyDescent="0.25">
      <c r="A1593" s="131" t="s">
        <v>82</v>
      </c>
      <c r="B1593" s="131">
        <v>1</v>
      </c>
    </row>
    <row r="1594" spans="1:2" x14ac:dyDescent="0.25">
      <c r="A1594" s="131" t="s">
        <v>93</v>
      </c>
      <c r="B1594" s="131">
        <v>1</v>
      </c>
    </row>
    <row r="1595" spans="1:2" x14ac:dyDescent="0.25">
      <c r="A1595" s="131" t="s">
        <v>48</v>
      </c>
      <c r="B1595" s="131">
        <v>1</v>
      </c>
    </row>
    <row r="1596" spans="1:2" x14ac:dyDescent="0.25">
      <c r="A1596" s="131" t="s">
        <v>74</v>
      </c>
      <c r="B1596" s="131">
        <v>1</v>
      </c>
    </row>
    <row r="1597" spans="1:2" x14ac:dyDescent="0.25">
      <c r="A1597" s="131" t="s">
        <v>10</v>
      </c>
      <c r="B1597" s="131">
        <v>1</v>
      </c>
    </row>
    <row r="1598" spans="1:2" x14ac:dyDescent="0.25">
      <c r="A1598" s="131" t="s">
        <v>74</v>
      </c>
      <c r="B1598" s="131">
        <v>1</v>
      </c>
    </row>
    <row r="1599" spans="1:2" x14ac:dyDescent="0.25">
      <c r="A1599" s="131" t="s">
        <v>10</v>
      </c>
      <c r="B1599" s="131">
        <v>1</v>
      </c>
    </row>
    <row r="1600" spans="1:2" x14ac:dyDescent="0.25">
      <c r="A1600" s="131" t="s">
        <v>55</v>
      </c>
      <c r="B1600" s="131">
        <v>1</v>
      </c>
    </row>
    <row r="1601" spans="1:2" x14ac:dyDescent="0.25">
      <c r="A1601" s="131" t="s">
        <v>36</v>
      </c>
      <c r="B1601" s="131">
        <v>1</v>
      </c>
    </row>
    <row r="1602" spans="1:2" x14ac:dyDescent="0.25">
      <c r="A1602" s="131" t="s">
        <v>36</v>
      </c>
      <c r="B1602" s="131">
        <v>1</v>
      </c>
    </row>
    <row r="1603" spans="1:2" x14ac:dyDescent="0.25">
      <c r="A1603" s="131" t="s">
        <v>36</v>
      </c>
      <c r="B1603" s="131">
        <v>1</v>
      </c>
    </row>
    <row r="1604" spans="1:2" x14ac:dyDescent="0.25">
      <c r="A1604" s="131" t="s">
        <v>36</v>
      </c>
      <c r="B1604" s="131">
        <v>-1</v>
      </c>
    </row>
    <row r="1605" spans="1:2" x14ac:dyDescent="0.25">
      <c r="A1605" s="131" t="s">
        <v>46</v>
      </c>
      <c r="B1605" s="131">
        <v>1</v>
      </c>
    </row>
    <row r="1606" spans="1:2" x14ac:dyDescent="0.25">
      <c r="A1606" s="131" t="s">
        <v>43</v>
      </c>
      <c r="B1606" s="131">
        <v>1</v>
      </c>
    </row>
    <row r="1607" spans="1:2" x14ac:dyDescent="0.25">
      <c r="A1607" s="131" t="s">
        <v>76</v>
      </c>
      <c r="B1607" s="131">
        <v>1</v>
      </c>
    </row>
    <row r="1608" spans="1:2" x14ac:dyDescent="0.25">
      <c r="A1608" s="131" t="s">
        <v>41</v>
      </c>
      <c r="B1608" s="131">
        <v>1</v>
      </c>
    </row>
    <row r="1609" spans="1:2" x14ac:dyDescent="0.25">
      <c r="A1609" s="131" t="s">
        <v>74</v>
      </c>
      <c r="B1609" s="131">
        <v>1</v>
      </c>
    </row>
    <row r="1610" spans="1:2" x14ac:dyDescent="0.25">
      <c r="A1610" s="131" t="s">
        <v>41</v>
      </c>
      <c r="B1610" s="131">
        <v>1</v>
      </c>
    </row>
    <row r="1611" spans="1:2" x14ac:dyDescent="0.25">
      <c r="A1611" s="131" t="s">
        <v>76</v>
      </c>
      <c r="B1611" s="131">
        <v>1</v>
      </c>
    </row>
    <row r="1612" spans="1:2" x14ac:dyDescent="0.25">
      <c r="A1612" s="131" t="s">
        <v>33</v>
      </c>
      <c r="B1612" s="131">
        <v>1</v>
      </c>
    </row>
    <row r="1613" spans="1:2" x14ac:dyDescent="0.25">
      <c r="A1613" s="131" t="s">
        <v>89</v>
      </c>
      <c r="B1613" s="131">
        <v>1</v>
      </c>
    </row>
    <row r="1614" spans="1:2" x14ac:dyDescent="0.25">
      <c r="A1614" s="131" t="s">
        <v>62</v>
      </c>
      <c r="B1614" s="131">
        <v>1</v>
      </c>
    </row>
    <row r="1615" spans="1:2" x14ac:dyDescent="0.25">
      <c r="A1615" s="131" t="s">
        <v>43</v>
      </c>
      <c r="B1615" s="131">
        <v>1</v>
      </c>
    </row>
    <row r="1616" spans="1:2" x14ac:dyDescent="0.25">
      <c r="A1616" s="131" t="s">
        <v>43</v>
      </c>
      <c r="B1616" s="131">
        <v>1</v>
      </c>
    </row>
    <row r="1617" spans="1:2" x14ac:dyDescent="0.25">
      <c r="A1617" s="131" t="s">
        <v>10</v>
      </c>
      <c r="B1617" s="131">
        <v>1</v>
      </c>
    </row>
    <row r="1618" spans="1:2" x14ac:dyDescent="0.25">
      <c r="A1618" s="131" t="s">
        <v>43</v>
      </c>
      <c r="B1618" s="131">
        <v>1</v>
      </c>
    </row>
    <row r="1619" spans="1:2" x14ac:dyDescent="0.25">
      <c r="A1619" s="131" t="s">
        <v>43</v>
      </c>
      <c r="B1619" s="131">
        <v>1</v>
      </c>
    </row>
    <row r="1620" spans="1:2" x14ac:dyDescent="0.25">
      <c r="A1620" s="131" t="s">
        <v>43</v>
      </c>
      <c r="B1620" s="131">
        <v>1</v>
      </c>
    </row>
    <row r="1621" spans="1:2" x14ac:dyDescent="0.25">
      <c r="A1621" s="131" t="s">
        <v>76</v>
      </c>
      <c r="B1621" s="131">
        <v>1</v>
      </c>
    </row>
    <row r="1622" spans="1:2" x14ac:dyDescent="0.25">
      <c r="A1622" s="131" t="s">
        <v>76</v>
      </c>
      <c r="B1622" s="131">
        <v>1</v>
      </c>
    </row>
    <row r="1623" spans="1:2" x14ac:dyDescent="0.25">
      <c r="A1623" s="131" t="s">
        <v>95</v>
      </c>
      <c r="B1623" s="131">
        <v>1</v>
      </c>
    </row>
    <row r="1624" spans="1:2" x14ac:dyDescent="0.25">
      <c r="A1624" s="131" t="s">
        <v>47</v>
      </c>
      <c r="B1624" s="131">
        <v>1</v>
      </c>
    </row>
    <row r="1625" spans="1:2" x14ac:dyDescent="0.25">
      <c r="A1625" s="131" t="s">
        <v>76</v>
      </c>
      <c r="B1625" s="131">
        <v>1</v>
      </c>
    </row>
    <row r="1626" spans="1:2" x14ac:dyDescent="0.25">
      <c r="A1626" s="131" t="s">
        <v>45</v>
      </c>
      <c r="B1626" s="131">
        <v>1</v>
      </c>
    </row>
    <row r="1627" spans="1:2" x14ac:dyDescent="0.25">
      <c r="A1627" s="131" t="s">
        <v>47</v>
      </c>
      <c r="B1627" s="131">
        <v>1</v>
      </c>
    </row>
    <row r="1628" spans="1:2" x14ac:dyDescent="0.25">
      <c r="A1628" s="131" t="s">
        <v>76</v>
      </c>
      <c r="B1628" s="131">
        <v>1</v>
      </c>
    </row>
    <row r="1629" spans="1:2" x14ac:dyDescent="0.25">
      <c r="A1629" s="131" t="s">
        <v>46</v>
      </c>
      <c r="B1629" s="131">
        <v>1</v>
      </c>
    </row>
    <row r="1630" spans="1:2" x14ac:dyDescent="0.25">
      <c r="A1630" s="131" t="s">
        <v>93</v>
      </c>
      <c r="B1630" s="131">
        <v>1</v>
      </c>
    </row>
    <row r="1631" spans="1:2" x14ac:dyDescent="0.25">
      <c r="A1631" s="131" t="s">
        <v>48</v>
      </c>
      <c r="B1631" s="131">
        <v>1</v>
      </c>
    </row>
    <row r="1632" spans="1:2" x14ac:dyDescent="0.25">
      <c r="A1632" s="131" t="s">
        <v>48</v>
      </c>
      <c r="B1632" s="131">
        <v>1</v>
      </c>
    </row>
    <row r="1633" spans="1:2" x14ac:dyDescent="0.25">
      <c r="A1633" s="131" t="s">
        <v>45</v>
      </c>
      <c r="B1633" s="131">
        <v>1</v>
      </c>
    </row>
    <row r="1634" spans="1:2" x14ac:dyDescent="0.25">
      <c r="A1634" s="131" t="s">
        <v>74</v>
      </c>
      <c r="B1634" s="131">
        <v>1</v>
      </c>
    </row>
    <row r="1635" spans="1:2" x14ac:dyDescent="0.25">
      <c r="A1635" s="131" t="s">
        <v>53</v>
      </c>
      <c r="B1635" s="131">
        <v>1</v>
      </c>
    </row>
    <row r="1636" spans="1:2" x14ac:dyDescent="0.25">
      <c r="A1636" s="131" t="s">
        <v>74</v>
      </c>
      <c r="B1636" s="131">
        <v>1</v>
      </c>
    </row>
    <row r="1637" spans="1:2" x14ac:dyDescent="0.25">
      <c r="A1637" s="131" t="s">
        <v>71</v>
      </c>
      <c r="B1637" s="131">
        <v>1</v>
      </c>
    </row>
    <row r="1638" spans="1:2" x14ac:dyDescent="0.25">
      <c r="A1638" s="131" t="s">
        <v>97</v>
      </c>
      <c r="B1638" s="131">
        <v>1</v>
      </c>
    </row>
    <row r="1639" spans="1:2" x14ac:dyDescent="0.25">
      <c r="A1639" s="131" t="s">
        <v>60</v>
      </c>
      <c r="B1639" s="131">
        <v>1</v>
      </c>
    </row>
    <row r="1640" spans="1:2" x14ac:dyDescent="0.25">
      <c r="A1640" s="131" t="s">
        <v>58</v>
      </c>
      <c r="B1640" s="131">
        <v>1</v>
      </c>
    </row>
    <row r="1641" spans="1:2" x14ac:dyDescent="0.25">
      <c r="A1641" s="131" t="s">
        <v>93</v>
      </c>
      <c r="B1641" s="131">
        <v>1</v>
      </c>
    </row>
    <row r="1642" spans="1:2" x14ac:dyDescent="0.25">
      <c r="A1642" s="131" t="s">
        <v>74</v>
      </c>
      <c r="B1642" s="131">
        <v>1</v>
      </c>
    </row>
    <row r="1643" spans="1:2" x14ac:dyDescent="0.25">
      <c r="A1643" s="131" t="s">
        <v>87</v>
      </c>
      <c r="B1643" s="131">
        <v>1</v>
      </c>
    </row>
    <row r="1644" spans="1:2" x14ac:dyDescent="0.25">
      <c r="A1644" s="131" t="s">
        <v>43</v>
      </c>
      <c r="B1644" s="131">
        <v>1</v>
      </c>
    </row>
    <row r="1645" spans="1:2" x14ac:dyDescent="0.25">
      <c r="A1645" s="131" t="s">
        <v>74</v>
      </c>
      <c r="B1645" s="131">
        <v>1</v>
      </c>
    </row>
    <row r="1646" spans="1:2" x14ac:dyDescent="0.25">
      <c r="A1646" s="131" t="s">
        <v>10</v>
      </c>
      <c r="B1646" s="131">
        <v>1</v>
      </c>
    </row>
    <row r="1647" spans="1:2" x14ac:dyDescent="0.25">
      <c r="A1647" s="131" t="s">
        <v>41</v>
      </c>
      <c r="B1647" s="131">
        <v>1</v>
      </c>
    </row>
    <row r="1648" spans="1:2" x14ac:dyDescent="0.25">
      <c r="A1648" s="131" t="s">
        <v>43</v>
      </c>
      <c r="B1648" s="131">
        <v>1</v>
      </c>
    </row>
    <row r="1649" spans="1:2" x14ac:dyDescent="0.25">
      <c r="A1649" s="131" t="s">
        <v>74</v>
      </c>
      <c r="B1649" s="131">
        <v>1</v>
      </c>
    </row>
    <row r="1650" spans="1:2" x14ac:dyDescent="0.25">
      <c r="A1650" s="131" t="s">
        <v>76</v>
      </c>
      <c r="B1650" s="131">
        <v>1</v>
      </c>
    </row>
    <row r="1651" spans="1:2" x14ac:dyDescent="0.25">
      <c r="A1651" s="131" t="s">
        <v>69</v>
      </c>
      <c r="B1651" s="131">
        <v>1</v>
      </c>
    </row>
    <row r="1652" spans="1:2" x14ac:dyDescent="0.25">
      <c r="A1652" s="131" t="s">
        <v>41</v>
      </c>
      <c r="B1652" s="131">
        <v>1</v>
      </c>
    </row>
    <row r="1653" spans="1:2" x14ac:dyDescent="0.25">
      <c r="A1653" s="131" t="s">
        <v>46</v>
      </c>
      <c r="B1653" s="131">
        <v>1</v>
      </c>
    </row>
    <row r="1654" spans="1:2" x14ac:dyDescent="0.25">
      <c r="A1654" s="131" t="s">
        <v>82</v>
      </c>
      <c r="B1654" s="131">
        <v>1</v>
      </c>
    </row>
    <row r="1655" spans="1:2" x14ac:dyDescent="0.25">
      <c r="A1655" s="131" t="s">
        <v>74</v>
      </c>
      <c r="B1655" s="131">
        <v>1</v>
      </c>
    </row>
    <row r="1656" spans="1:2" x14ac:dyDescent="0.25">
      <c r="A1656" s="131" t="s">
        <v>43</v>
      </c>
      <c r="B1656" s="131">
        <v>1</v>
      </c>
    </row>
    <row r="1657" spans="1:2" x14ac:dyDescent="0.25">
      <c r="A1657" s="131" t="s">
        <v>41</v>
      </c>
      <c r="B1657" s="131">
        <v>1</v>
      </c>
    </row>
    <row r="1658" spans="1:2" x14ac:dyDescent="0.25">
      <c r="A1658" s="131" t="s">
        <v>89</v>
      </c>
      <c r="B1658" s="131">
        <v>1</v>
      </c>
    </row>
    <row r="1659" spans="1:2" x14ac:dyDescent="0.25">
      <c r="A1659" s="131" t="s">
        <v>46</v>
      </c>
      <c r="B1659" s="131">
        <v>1</v>
      </c>
    </row>
    <row r="1660" spans="1:2" x14ac:dyDescent="0.25">
      <c r="A1660" s="131" t="s">
        <v>58</v>
      </c>
      <c r="B1660" s="131">
        <v>1</v>
      </c>
    </row>
    <row r="1661" spans="1:2" x14ac:dyDescent="0.25">
      <c r="A1661" s="131" t="s">
        <v>50</v>
      </c>
      <c r="B1661" s="131">
        <v>1</v>
      </c>
    </row>
    <row r="1662" spans="1:2" x14ac:dyDescent="0.25">
      <c r="A1662" s="131" t="s">
        <v>10</v>
      </c>
      <c r="B1662" s="131">
        <v>1</v>
      </c>
    </row>
    <row r="1663" spans="1:2" x14ac:dyDescent="0.25">
      <c r="A1663" s="131" t="s">
        <v>76</v>
      </c>
      <c r="B1663" s="131">
        <v>1</v>
      </c>
    </row>
    <row r="1664" spans="1:2" x14ac:dyDescent="0.25">
      <c r="A1664" s="131" t="s">
        <v>76</v>
      </c>
      <c r="B1664" s="131">
        <v>1</v>
      </c>
    </row>
    <row r="1665" spans="1:2" x14ac:dyDescent="0.25">
      <c r="A1665" s="131" t="s">
        <v>50</v>
      </c>
      <c r="B1665" s="131">
        <v>1</v>
      </c>
    </row>
    <row r="1666" spans="1:2" x14ac:dyDescent="0.25">
      <c r="A1666" s="131" t="s">
        <v>46</v>
      </c>
      <c r="B1666" s="131">
        <v>1</v>
      </c>
    </row>
    <row r="1667" spans="1:2" x14ac:dyDescent="0.25">
      <c r="A1667" s="131" t="s">
        <v>46</v>
      </c>
      <c r="B1667" s="131">
        <v>1</v>
      </c>
    </row>
    <row r="1668" spans="1:2" x14ac:dyDescent="0.25">
      <c r="A1668" s="131" t="s">
        <v>78</v>
      </c>
      <c r="B1668" s="131">
        <v>1</v>
      </c>
    </row>
    <row r="1669" spans="1:2" x14ac:dyDescent="0.25">
      <c r="A1669" s="131" t="s">
        <v>74</v>
      </c>
      <c r="B1669" s="131">
        <v>1</v>
      </c>
    </row>
    <row r="1670" spans="1:2" x14ac:dyDescent="0.25">
      <c r="A1670" s="131" t="s">
        <v>82</v>
      </c>
      <c r="B1670" s="131">
        <v>1</v>
      </c>
    </row>
    <row r="1671" spans="1:2" x14ac:dyDescent="0.25">
      <c r="A1671" s="131" t="s">
        <v>74</v>
      </c>
      <c r="B1671" s="131">
        <v>1</v>
      </c>
    </row>
    <row r="1672" spans="1:2" x14ac:dyDescent="0.25">
      <c r="A1672" s="131" t="s">
        <v>46</v>
      </c>
      <c r="B1672" s="131">
        <v>1</v>
      </c>
    </row>
    <row r="1673" spans="1:2" x14ac:dyDescent="0.25">
      <c r="A1673" s="131" t="s">
        <v>50</v>
      </c>
      <c r="B1673" s="131">
        <v>1</v>
      </c>
    </row>
    <row r="1674" spans="1:2" x14ac:dyDescent="0.25">
      <c r="A1674" s="131" t="s">
        <v>78</v>
      </c>
      <c r="B1674" s="131">
        <v>1</v>
      </c>
    </row>
    <row r="1675" spans="1:2" x14ac:dyDescent="0.25">
      <c r="A1675" s="131" t="s">
        <v>58</v>
      </c>
      <c r="B1675" s="131">
        <v>1</v>
      </c>
    </row>
    <row r="1676" spans="1:2" x14ac:dyDescent="0.25">
      <c r="A1676" s="131" t="s">
        <v>60</v>
      </c>
      <c r="B1676" s="131">
        <v>1</v>
      </c>
    </row>
    <row r="1677" spans="1:2" x14ac:dyDescent="0.25">
      <c r="A1677" s="131" t="s">
        <v>33</v>
      </c>
      <c r="B1677" s="131">
        <v>1</v>
      </c>
    </row>
    <row r="1678" spans="1:2" x14ac:dyDescent="0.25">
      <c r="A1678" s="131" t="s">
        <v>46</v>
      </c>
      <c r="B1678" s="131">
        <v>1</v>
      </c>
    </row>
    <row r="1679" spans="1:2" x14ac:dyDescent="0.25">
      <c r="A1679" s="131" t="s">
        <v>10</v>
      </c>
      <c r="B1679" s="131">
        <v>1</v>
      </c>
    </row>
    <row r="1680" spans="1:2" x14ac:dyDescent="0.25">
      <c r="A1680" s="131" t="s">
        <v>43</v>
      </c>
      <c r="B1680" s="131">
        <v>1</v>
      </c>
    </row>
    <row r="1681" spans="1:2" x14ac:dyDescent="0.25">
      <c r="A1681" s="131" t="s">
        <v>67</v>
      </c>
      <c r="B1681" s="131">
        <v>1</v>
      </c>
    </row>
    <row r="1682" spans="1:2" x14ac:dyDescent="0.25">
      <c r="A1682" s="131" t="s">
        <v>41</v>
      </c>
      <c r="B1682" s="131">
        <v>1</v>
      </c>
    </row>
    <row r="1683" spans="1:2" x14ac:dyDescent="0.25">
      <c r="A1683" s="131" t="s">
        <v>33</v>
      </c>
      <c r="B1683" s="131">
        <v>1</v>
      </c>
    </row>
    <row r="1684" spans="1:2" x14ac:dyDescent="0.25">
      <c r="A1684" s="131" t="s">
        <v>46</v>
      </c>
      <c r="B1684" s="131">
        <v>1</v>
      </c>
    </row>
    <row r="1685" spans="1:2" x14ac:dyDescent="0.25">
      <c r="A1685" s="131" t="s">
        <v>78</v>
      </c>
      <c r="B1685" s="131">
        <v>1</v>
      </c>
    </row>
    <row r="1686" spans="1:2" x14ac:dyDescent="0.25">
      <c r="A1686" s="131" t="s">
        <v>43</v>
      </c>
      <c r="B1686" s="131">
        <v>1</v>
      </c>
    </row>
    <row r="1687" spans="1:2" x14ac:dyDescent="0.25">
      <c r="A1687" s="131" t="s">
        <v>76</v>
      </c>
      <c r="B1687" s="131">
        <v>1</v>
      </c>
    </row>
    <row r="1688" spans="1:2" x14ac:dyDescent="0.25">
      <c r="A1688" s="131" t="s">
        <v>84</v>
      </c>
      <c r="B1688" s="131">
        <v>1</v>
      </c>
    </row>
    <row r="1689" spans="1:2" x14ac:dyDescent="0.25">
      <c r="A1689" s="131" t="s">
        <v>84</v>
      </c>
      <c r="B1689" s="131">
        <v>1</v>
      </c>
    </row>
    <row r="1690" spans="1:2" x14ac:dyDescent="0.25">
      <c r="A1690" s="131" t="s">
        <v>67</v>
      </c>
      <c r="B1690" s="131">
        <v>1</v>
      </c>
    </row>
    <row r="1691" spans="1:2" x14ac:dyDescent="0.25">
      <c r="A1691" s="131" t="s">
        <v>10</v>
      </c>
      <c r="B1691" s="131">
        <v>1</v>
      </c>
    </row>
    <row r="1692" spans="1:2" x14ac:dyDescent="0.25">
      <c r="A1692" s="131" t="s">
        <v>50</v>
      </c>
      <c r="B1692" s="131">
        <v>1</v>
      </c>
    </row>
    <row r="1693" spans="1:2" x14ac:dyDescent="0.25">
      <c r="A1693" s="131" t="s">
        <v>60</v>
      </c>
      <c r="B1693" s="131">
        <v>1</v>
      </c>
    </row>
    <row r="1694" spans="1:2" x14ac:dyDescent="0.25">
      <c r="A1694" s="131" t="s">
        <v>69</v>
      </c>
      <c r="B1694" s="131">
        <v>-1</v>
      </c>
    </row>
    <row r="1695" spans="1:2" x14ac:dyDescent="0.25">
      <c r="A1695" s="131" t="s">
        <v>43</v>
      </c>
      <c r="B1695" s="131">
        <v>1</v>
      </c>
    </row>
    <row r="1696" spans="1:2" x14ac:dyDescent="0.25">
      <c r="A1696" s="131" t="s">
        <v>60</v>
      </c>
      <c r="B1696" s="131">
        <v>1</v>
      </c>
    </row>
    <row r="1697" spans="1:2" x14ac:dyDescent="0.25">
      <c r="A1697" s="131" t="s">
        <v>82</v>
      </c>
      <c r="B1697" s="131">
        <v>1</v>
      </c>
    </row>
    <row r="1698" spans="1:2" x14ac:dyDescent="0.25">
      <c r="A1698" s="131" t="s">
        <v>82</v>
      </c>
      <c r="B1698" s="131">
        <v>1</v>
      </c>
    </row>
    <row r="1699" spans="1:2" x14ac:dyDescent="0.25">
      <c r="A1699" s="131" t="s">
        <v>74</v>
      </c>
      <c r="B1699" s="131">
        <v>1</v>
      </c>
    </row>
    <row r="1700" spans="1:2" x14ac:dyDescent="0.25">
      <c r="A1700" s="131" t="s">
        <v>76</v>
      </c>
      <c r="B1700" s="131">
        <v>1</v>
      </c>
    </row>
    <row r="1701" spans="1:2" x14ac:dyDescent="0.25">
      <c r="A1701" s="131" t="s">
        <v>43</v>
      </c>
      <c r="B1701" s="131">
        <v>1</v>
      </c>
    </row>
    <row r="1702" spans="1:2" x14ac:dyDescent="0.25">
      <c r="A1702" s="131" t="s">
        <v>50</v>
      </c>
      <c r="B1702" s="131">
        <v>1</v>
      </c>
    </row>
    <row r="1703" spans="1:2" x14ac:dyDescent="0.25">
      <c r="A1703" s="131" t="s">
        <v>41</v>
      </c>
      <c r="B1703" s="131">
        <v>1</v>
      </c>
    </row>
    <row r="1704" spans="1:2" x14ac:dyDescent="0.25">
      <c r="A1704" s="131" t="s">
        <v>86</v>
      </c>
      <c r="B1704" s="131">
        <v>-1</v>
      </c>
    </row>
    <row r="1705" spans="1:2" x14ac:dyDescent="0.25">
      <c r="A1705" s="131" t="s">
        <v>10</v>
      </c>
      <c r="B1705" s="131">
        <v>1</v>
      </c>
    </row>
    <row r="1706" spans="1:2" x14ac:dyDescent="0.25">
      <c r="A1706" s="131" t="s">
        <v>33</v>
      </c>
      <c r="B1706" s="131">
        <v>1</v>
      </c>
    </row>
    <row r="1707" spans="1:2" x14ac:dyDescent="0.25">
      <c r="A1707" s="131" t="s">
        <v>55</v>
      </c>
      <c r="B1707" s="131">
        <v>1</v>
      </c>
    </row>
    <row r="1708" spans="1:2" x14ac:dyDescent="0.25">
      <c r="A1708" s="131" t="s">
        <v>76</v>
      </c>
      <c r="B1708" s="131">
        <v>1</v>
      </c>
    </row>
    <row r="1709" spans="1:2" x14ac:dyDescent="0.25">
      <c r="A1709" s="131" t="s">
        <v>76</v>
      </c>
      <c r="B1709" s="131">
        <v>1</v>
      </c>
    </row>
    <row r="1710" spans="1:2" x14ac:dyDescent="0.25">
      <c r="A1710" s="131" t="s">
        <v>10</v>
      </c>
      <c r="B1710" s="131">
        <v>1</v>
      </c>
    </row>
    <row r="1711" spans="1:2" x14ac:dyDescent="0.25">
      <c r="A1711" s="131" t="s">
        <v>47</v>
      </c>
      <c r="B1711" s="131">
        <v>1</v>
      </c>
    </row>
    <row r="1712" spans="1:2" x14ac:dyDescent="0.25">
      <c r="A1712" s="131" t="s">
        <v>46</v>
      </c>
      <c r="B1712" s="131">
        <v>1</v>
      </c>
    </row>
    <row r="1713" spans="1:2" x14ac:dyDescent="0.25">
      <c r="A1713" s="131" t="s">
        <v>60</v>
      </c>
      <c r="B1713" s="131">
        <v>1</v>
      </c>
    </row>
    <row r="1714" spans="1:2" x14ac:dyDescent="0.25">
      <c r="A1714" s="131" t="s">
        <v>62</v>
      </c>
      <c r="B1714" s="131">
        <v>1</v>
      </c>
    </row>
    <row r="1715" spans="1:2" x14ac:dyDescent="0.25">
      <c r="A1715" s="131" t="s">
        <v>53</v>
      </c>
      <c r="B1715" s="131">
        <v>1</v>
      </c>
    </row>
    <row r="1716" spans="1:2" x14ac:dyDescent="0.25">
      <c r="A1716" s="131" t="s">
        <v>93</v>
      </c>
      <c r="B1716" s="131">
        <v>1</v>
      </c>
    </row>
    <row r="1717" spans="1:2" x14ac:dyDescent="0.25">
      <c r="A1717" s="131" t="s">
        <v>76</v>
      </c>
      <c r="B1717" s="131">
        <v>1</v>
      </c>
    </row>
    <row r="1718" spans="1:2" x14ac:dyDescent="0.25">
      <c r="A1718" s="131" t="s">
        <v>78</v>
      </c>
      <c r="B1718" s="131">
        <v>1</v>
      </c>
    </row>
    <row r="1719" spans="1:2" x14ac:dyDescent="0.25">
      <c r="A1719" s="131" t="s">
        <v>82</v>
      </c>
      <c r="B1719" s="131">
        <v>1</v>
      </c>
    </row>
    <row r="1720" spans="1:2" x14ac:dyDescent="0.25">
      <c r="A1720" s="131" t="s">
        <v>58</v>
      </c>
      <c r="B1720" s="131">
        <v>1</v>
      </c>
    </row>
    <row r="1721" spans="1:2" x14ac:dyDescent="0.25">
      <c r="A1721" s="131" t="s">
        <v>47</v>
      </c>
      <c r="B1721" s="131">
        <v>1</v>
      </c>
    </row>
    <row r="1722" spans="1:2" x14ac:dyDescent="0.25">
      <c r="A1722" s="131" t="s">
        <v>89</v>
      </c>
      <c r="B1722" s="131">
        <v>1</v>
      </c>
    </row>
    <row r="1723" spans="1:2" x14ac:dyDescent="0.25">
      <c r="A1723" s="131" t="s">
        <v>47</v>
      </c>
      <c r="B1723" s="131">
        <v>1</v>
      </c>
    </row>
    <row r="1724" spans="1:2" x14ac:dyDescent="0.25">
      <c r="A1724" s="131" t="s">
        <v>93</v>
      </c>
      <c r="B1724" s="131">
        <v>1</v>
      </c>
    </row>
    <row r="1725" spans="1:2" x14ac:dyDescent="0.25">
      <c r="A1725" s="131" t="s">
        <v>46</v>
      </c>
      <c r="B1725" s="131">
        <v>1</v>
      </c>
    </row>
    <row r="1726" spans="1:2" x14ac:dyDescent="0.25">
      <c r="A1726" s="131" t="s">
        <v>93</v>
      </c>
      <c r="B1726" s="131">
        <v>1</v>
      </c>
    </row>
    <row r="1727" spans="1:2" x14ac:dyDescent="0.25">
      <c r="A1727" s="131" t="s">
        <v>58</v>
      </c>
      <c r="B1727" s="131">
        <v>1</v>
      </c>
    </row>
    <row r="1728" spans="1:2" x14ac:dyDescent="0.25">
      <c r="A1728" s="131" t="s">
        <v>29</v>
      </c>
      <c r="B1728" s="131">
        <v>1</v>
      </c>
    </row>
    <row r="1729" spans="1:2" x14ac:dyDescent="0.25">
      <c r="A1729" s="131" t="s">
        <v>10</v>
      </c>
      <c r="B1729" s="131">
        <v>1</v>
      </c>
    </row>
    <row r="1730" spans="1:2" x14ac:dyDescent="0.25">
      <c r="A1730" s="131" t="s">
        <v>10</v>
      </c>
      <c r="B1730" s="131">
        <v>1</v>
      </c>
    </row>
    <row r="1731" spans="1:2" x14ac:dyDescent="0.25">
      <c r="A1731" s="131" t="s">
        <v>10</v>
      </c>
      <c r="B1731" s="131">
        <v>1</v>
      </c>
    </row>
    <row r="1732" spans="1:2" x14ac:dyDescent="0.25">
      <c r="A1732" s="131" t="s">
        <v>10</v>
      </c>
      <c r="B1732" s="131">
        <v>1</v>
      </c>
    </row>
    <row r="1733" spans="1:2" x14ac:dyDescent="0.25">
      <c r="A1733" s="131" t="s">
        <v>43</v>
      </c>
      <c r="B1733" s="131">
        <v>1</v>
      </c>
    </row>
    <row r="1734" spans="1:2" x14ac:dyDescent="0.25">
      <c r="A1734" s="131" t="s">
        <v>62</v>
      </c>
      <c r="B1734" s="131">
        <v>1</v>
      </c>
    </row>
    <row r="1735" spans="1:2" x14ac:dyDescent="0.25">
      <c r="A1735" s="131" t="s">
        <v>74</v>
      </c>
      <c r="B1735" s="131">
        <v>1</v>
      </c>
    </row>
    <row r="1736" spans="1:2" x14ac:dyDescent="0.25">
      <c r="A1736" s="131" t="s">
        <v>60</v>
      </c>
      <c r="B1736" s="131">
        <v>1</v>
      </c>
    </row>
    <row r="1737" spans="1:2" x14ac:dyDescent="0.25">
      <c r="A1737" s="131" t="s">
        <v>48</v>
      </c>
      <c r="B1737" s="131">
        <v>1</v>
      </c>
    </row>
    <row r="1738" spans="1:2" x14ac:dyDescent="0.25">
      <c r="A1738" s="131" t="s">
        <v>43</v>
      </c>
      <c r="B1738" s="131">
        <v>1</v>
      </c>
    </row>
    <row r="1739" spans="1:2" x14ac:dyDescent="0.25">
      <c r="A1739" s="131" t="s">
        <v>89</v>
      </c>
      <c r="B1739" s="131">
        <v>1</v>
      </c>
    </row>
    <row r="1740" spans="1:2" x14ac:dyDescent="0.25">
      <c r="A1740" s="131" t="s">
        <v>74</v>
      </c>
      <c r="B1740" s="131">
        <v>1</v>
      </c>
    </row>
    <row r="1741" spans="1:2" x14ac:dyDescent="0.25">
      <c r="A1741" s="131" t="s">
        <v>58</v>
      </c>
      <c r="B1741" s="131">
        <v>1</v>
      </c>
    </row>
    <row r="1742" spans="1:2" x14ac:dyDescent="0.25">
      <c r="A1742" s="131" t="s">
        <v>10</v>
      </c>
      <c r="B1742" s="131">
        <v>1</v>
      </c>
    </row>
    <row r="1743" spans="1:2" x14ac:dyDescent="0.25">
      <c r="A1743" s="131" t="s">
        <v>84</v>
      </c>
      <c r="B1743" s="131">
        <v>1</v>
      </c>
    </row>
    <row r="1744" spans="1:2" x14ac:dyDescent="0.25">
      <c r="A1744" s="131" t="s">
        <v>45</v>
      </c>
      <c r="B1744" s="131">
        <v>1</v>
      </c>
    </row>
    <row r="1745" spans="1:2" x14ac:dyDescent="0.25">
      <c r="A1745" s="131" t="s">
        <v>10</v>
      </c>
      <c r="B1745" s="131">
        <v>1</v>
      </c>
    </row>
    <row r="1746" spans="1:2" x14ac:dyDescent="0.25">
      <c r="A1746" s="131" t="s">
        <v>10</v>
      </c>
      <c r="B1746" s="131">
        <v>1</v>
      </c>
    </row>
    <row r="1747" spans="1:2" x14ac:dyDescent="0.25">
      <c r="A1747" s="131" t="s">
        <v>69</v>
      </c>
      <c r="B1747" s="131">
        <v>1</v>
      </c>
    </row>
    <row r="1748" spans="1:2" x14ac:dyDescent="0.25">
      <c r="A1748" s="131" t="s">
        <v>74</v>
      </c>
      <c r="B1748" s="131">
        <v>1</v>
      </c>
    </row>
    <row r="1749" spans="1:2" x14ac:dyDescent="0.25">
      <c r="A1749" s="131" t="s">
        <v>74</v>
      </c>
      <c r="B1749" s="131">
        <v>1</v>
      </c>
    </row>
    <row r="1750" spans="1:2" x14ac:dyDescent="0.25">
      <c r="A1750" s="131" t="s">
        <v>33</v>
      </c>
      <c r="B1750" s="131">
        <v>1</v>
      </c>
    </row>
    <row r="1751" spans="1:2" x14ac:dyDescent="0.25">
      <c r="A1751" s="131" t="s">
        <v>43</v>
      </c>
      <c r="B1751" s="131">
        <v>1</v>
      </c>
    </row>
    <row r="1752" spans="1:2" x14ac:dyDescent="0.25">
      <c r="A1752" s="131" t="s">
        <v>47</v>
      </c>
      <c r="B1752" s="131">
        <v>1</v>
      </c>
    </row>
    <row r="1753" spans="1:2" x14ac:dyDescent="0.25">
      <c r="A1753" s="131" t="s">
        <v>46</v>
      </c>
      <c r="B1753" s="131">
        <v>1</v>
      </c>
    </row>
    <row r="1754" spans="1:2" x14ac:dyDescent="0.25">
      <c r="A1754" s="131" t="s">
        <v>43</v>
      </c>
      <c r="B1754" s="131">
        <v>1</v>
      </c>
    </row>
    <row r="1755" spans="1:2" x14ac:dyDescent="0.25">
      <c r="A1755" s="131" t="s">
        <v>82</v>
      </c>
      <c r="B1755" s="131">
        <v>1</v>
      </c>
    </row>
    <row r="1756" spans="1:2" x14ac:dyDescent="0.25">
      <c r="A1756" s="131" t="s">
        <v>82</v>
      </c>
      <c r="B1756" s="131">
        <v>1</v>
      </c>
    </row>
    <row r="1757" spans="1:2" x14ac:dyDescent="0.25">
      <c r="A1757" s="131" t="s">
        <v>10</v>
      </c>
      <c r="B1757" s="131">
        <v>1</v>
      </c>
    </row>
    <row r="1758" spans="1:2" x14ac:dyDescent="0.25">
      <c r="A1758" s="131" t="s">
        <v>10</v>
      </c>
      <c r="B1758" s="131">
        <v>1</v>
      </c>
    </row>
    <row r="1759" spans="1:2" x14ac:dyDescent="0.25">
      <c r="A1759" s="131" t="s">
        <v>43</v>
      </c>
      <c r="B1759" s="131">
        <v>1</v>
      </c>
    </row>
    <row r="1760" spans="1:2" x14ac:dyDescent="0.25">
      <c r="A1760" s="131" t="s">
        <v>43</v>
      </c>
      <c r="B1760" s="131">
        <v>1</v>
      </c>
    </row>
    <row r="1761" spans="1:2" x14ac:dyDescent="0.25">
      <c r="A1761" s="131" t="s">
        <v>36</v>
      </c>
      <c r="B1761" s="131">
        <v>1</v>
      </c>
    </row>
    <row r="1762" spans="1:2" x14ac:dyDescent="0.25">
      <c r="A1762" s="131" t="s">
        <v>36</v>
      </c>
      <c r="B1762" s="131">
        <v>1</v>
      </c>
    </row>
    <row r="1763" spans="1:2" x14ac:dyDescent="0.25">
      <c r="A1763" s="131" t="s">
        <v>36</v>
      </c>
      <c r="B1763" s="131">
        <v>1</v>
      </c>
    </row>
    <row r="1764" spans="1:2" x14ac:dyDescent="0.25">
      <c r="A1764" s="131" t="s">
        <v>74</v>
      </c>
      <c r="B1764" s="131">
        <v>1</v>
      </c>
    </row>
    <row r="1765" spans="1:2" x14ac:dyDescent="0.25">
      <c r="A1765" s="131" t="s">
        <v>74</v>
      </c>
      <c r="B1765" s="131">
        <v>-1</v>
      </c>
    </row>
    <row r="1766" spans="1:2" x14ac:dyDescent="0.25">
      <c r="A1766" s="131" t="s">
        <v>60</v>
      </c>
      <c r="B1766" s="131">
        <v>1</v>
      </c>
    </row>
    <row r="1767" spans="1:2" x14ac:dyDescent="0.25">
      <c r="A1767" s="131" t="s">
        <v>47</v>
      </c>
      <c r="B1767" s="131">
        <v>1</v>
      </c>
    </row>
    <row r="1768" spans="1:2" x14ac:dyDescent="0.25">
      <c r="A1768" s="131" t="s">
        <v>97</v>
      </c>
      <c r="B1768" s="131">
        <v>1</v>
      </c>
    </row>
    <row r="1769" spans="1:2" x14ac:dyDescent="0.25">
      <c r="A1769" s="131" t="s">
        <v>48</v>
      </c>
      <c r="B1769" s="131">
        <v>1</v>
      </c>
    </row>
    <row r="1770" spans="1:2" x14ac:dyDescent="0.25">
      <c r="A1770" s="131" t="s">
        <v>50</v>
      </c>
      <c r="B1770" s="131">
        <v>1</v>
      </c>
    </row>
    <row r="1771" spans="1:2" x14ac:dyDescent="0.25">
      <c r="A1771" s="131" t="s">
        <v>43</v>
      </c>
      <c r="B1771" s="131">
        <v>1</v>
      </c>
    </row>
    <row r="1772" spans="1:2" x14ac:dyDescent="0.25">
      <c r="A1772" s="131" t="s">
        <v>41</v>
      </c>
      <c r="B1772" s="131">
        <v>1</v>
      </c>
    </row>
    <row r="1773" spans="1:2" x14ac:dyDescent="0.25">
      <c r="A1773" s="131" t="s">
        <v>76</v>
      </c>
      <c r="B1773" s="131">
        <v>1</v>
      </c>
    </row>
    <row r="1774" spans="1:2" x14ac:dyDescent="0.25">
      <c r="A1774" s="131" t="s">
        <v>74</v>
      </c>
      <c r="B1774" s="131">
        <v>1</v>
      </c>
    </row>
    <row r="1775" spans="1:2" x14ac:dyDescent="0.25">
      <c r="A1775" s="131" t="s">
        <v>36</v>
      </c>
      <c r="B1775" s="131">
        <v>1</v>
      </c>
    </row>
    <row r="1776" spans="1:2" x14ac:dyDescent="0.25">
      <c r="A1776" s="131" t="s">
        <v>36</v>
      </c>
      <c r="B1776" s="131">
        <v>1</v>
      </c>
    </row>
    <row r="1777" spans="1:2" x14ac:dyDescent="0.25">
      <c r="A1777" s="131" t="s">
        <v>76</v>
      </c>
      <c r="B1777" s="131">
        <v>1</v>
      </c>
    </row>
    <row r="1778" spans="1:2" x14ac:dyDescent="0.25">
      <c r="A1778" s="131" t="s">
        <v>74</v>
      </c>
      <c r="B1778" s="131">
        <v>1</v>
      </c>
    </row>
    <row r="1779" spans="1:2" x14ac:dyDescent="0.25">
      <c r="A1779" s="131" t="s">
        <v>60</v>
      </c>
      <c r="B1779" s="131">
        <v>1</v>
      </c>
    </row>
    <row r="1780" spans="1:2" x14ac:dyDescent="0.25">
      <c r="A1780" s="131" t="s">
        <v>86</v>
      </c>
      <c r="B1780" s="131">
        <v>1</v>
      </c>
    </row>
    <row r="1781" spans="1:2" x14ac:dyDescent="0.25">
      <c r="A1781" s="131" t="s">
        <v>55</v>
      </c>
      <c r="B1781" s="131">
        <v>1</v>
      </c>
    </row>
    <row r="1782" spans="1:2" x14ac:dyDescent="0.25">
      <c r="A1782" s="131" t="s">
        <v>60</v>
      </c>
      <c r="B1782" s="131">
        <v>1</v>
      </c>
    </row>
    <row r="1783" spans="1:2" x14ac:dyDescent="0.25">
      <c r="A1783" s="131" t="s">
        <v>60</v>
      </c>
      <c r="B1783" s="131">
        <v>1</v>
      </c>
    </row>
    <row r="1784" spans="1:2" x14ac:dyDescent="0.25">
      <c r="A1784" s="131" t="s">
        <v>10</v>
      </c>
      <c r="B1784" s="131">
        <v>1</v>
      </c>
    </row>
    <row r="1785" spans="1:2" x14ac:dyDescent="0.25">
      <c r="A1785" s="131" t="s">
        <v>58</v>
      </c>
      <c r="B1785" s="131">
        <v>1</v>
      </c>
    </row>
    <row r="1786" spans="1:2" x14ac:dyDescent="0.25">
      <c r="A1786" s="131" t="s">
        <v>84</v>
      </c>
      <c r="B1786" s="131">
        <v>1</v>
      </c>
    </row>
    <row r="1787" spans="1:2" x14ac:dyDescent="0.25">
      <c r="A1787" s="131" t="s">
        <v>10</v>
      </c>
      <c r="B1787" s="131">
        <v>1</v>
      </c>
    </row>
    <row r="1788" spans="1:2" x14ac:dyDescent="0.25">
      <c r="A1788" s="131"/>
    </row>
    <row r="1789" spans="1:2" x14ac:dyDescent="0.25">
      <c r="A1789" s="131"/>
    </row>
    <row r="1790" spans="1:2" x14ac:dyDescent="0.25">
      <c r="A1790" s="131"/>
    </row>
    <row r="1791" spans="1:2" x14ac:dyDescent="0.25">
      <c r="A1791" s="131"/>
    </row>
    <row r="1792" spans="1:2" x14ac:dyDescent="0.25">
      <c r="A1792" s="131"/>
    </row>
    <row r="1793" spans="1:1" x14ac:dyDescent="0.25">
      <c r="A1793" s="131"/>
    </row>
    <row r="1794" spans="1:1" x14ac:dyDescent="0.25">
      <c r="A1794" s="131"/>
    </row>
    <row r="1795" spans="1:1" x14ac:dyDescent="0.25">
      <c r="A1795" s="131"/>
    </row>
    <row r="1796" spans="1:1" x14ac:dyDescent="0.25">
      <c r="A1796" s="131"/>
    </row>
    <row r="1797" spans="1:1" x14ac:dyDescent="0.25">
      <c r="A1797" s="131"/>
    </row>
    <row r="1798" spans="1:1" x14ac:dyDescent="0.25">
      <c r="A1798" s="131"/>
    </row>
    <row r="1799" spans="1:1" x14ac:dyDescent="0.25">
      <c r="A1799" s="131"/>
    </row>
    <row r="1800" spans="1:1" x14ac:dyDescent="0.25">
      <c r="A1800" s="131"/>
    </row>
    <row r="1801" spans="1:1" x14ac:dyDescent="0.25">
      <c r="A1801" s="131"/>
    </row>
    <row r="1802" spans="1:1" x14ac:dyDescent="0.25">
      <c r="A1802" s="131"/>
    </row>
    <row r="1803" spans="1:1" x14ac:dyDescent="0.25">
      <c r="A1803" s="131"/>
    </row>
    <row r="1804" spans="1:1" x14ac:dyDescent="0.25">
      <c r="A1804" s="131"/>
    </row>
    <row r="1805" spans="1:1" x14ac:dyDescent="0.25">
      <c r="A1805" s="131"/>
    </row>
    <row r="1806" spans="1:1" x14ac:dyDescent="0.25">
      <c r="A1806" s="131"/>
    </row>
    <row r="1807" spans="1:1" x14ac:dyDescent="0.25">
      <c r="A1807" s="131"/>
    </row>
    <row r="1808" spans="1:1" x14ac:dyDescent="0.25">
      <c r="A1808" s="131"/>
    </row>
    <row r="1809" spans="1:1" x14ac:dyDescent="0.25">
      <c r="A1809" s="131"/>
    </row>
    <row r="1810" spans="1:1" x14ac:dyDescent="0.25">
      <c r="A1810" s="131"/>
    </row>
    <row r="1811" spans="1:1" x14ac:dyDescent="0.25">
      <c r="A1811" s="131"/>
    </row>
    <row r="1812" spans="1:1" x14ac:dyDescent="0.25">
      <c r="A1812" s="131"/>
    </row>
    <row r="1813" spans="1:1" x14ac:dyDescent="0.25">
      <c r="A1813" s="131"/>
    </row>
    <row r="1814" spans="1:1" x14ac:dyDescent="0.25">
      <c r="A1814" s="131"/>
    </row>
    <row r="1815" spans="1:1" x14ac:dyDescent="0.25">
      <c r="A1815" s="131"/>
    </row>
    <row r="1816" spans="1:1" x14ac:dyDescent="0.25">
      <c r="A1816" s="131"/>
    </row>
    <row r="1817" spans="1:1" x14ac:dyDescent="0.25">
      <c r="A1817" s="131"/>
    </row>
    <row r="1818" spans="1:1" x14ac:dyDescent="0.25">
      <c r="A1818" s="131"/>
    </row>
    <row r="1819" spans="1:1" x14ac:dyDescent="0.25">
      <c r="A1819" s="131"/>
    </row>
    <row r="1820" spans="1:1" x14ac:dyDescent="0.25">
      <c r="A1820" s="131"/>
    </row>
    <row r="1821" spans="1:1" x14ac:dyDescent="0.25">
      <c r="A1821" s="131"/>
    </row>
    <row r="1822" spans="1:1" x14ac:dyDescent="0.25">
      <c r="A1822" s="131"/>
    </row>
    <row r="1823" spans="1:1" x14ac:dyDescent="0.25">
      <c r="A1823" s="131"/>
    </row>
    <row r="1824" spans="1:1" x14ac:dyDescent="0.25">
      <c r="A1824" s="131"/>
    </row>
    <row r="1825" spans="1:1" x14ac:dyDescent="0.25">
      <c r="A1825" s="131"/>
    </row>
    <row r="1826" spans="1:1" x14ac:dyDescent="0.25">
      <c r="A1826" s="131"/>
    </row>
    <row r="1827" spans="1:1" x14ac:dyDescent="0.25">
      <c r="A1827" s="131"/>
    </row>
    <row r="1828" spans="1:1" x14ac:dyDescent="0.25">
      <c r="A1828" s="131"/>
    </row>
    <row r="1829" spans="1:1" x14ac:dyDescent="0.25">
      <c r="A1829" s="131"/>
    </row>
    <row r="1830" spans="1:1" x14ac:dyDescent="0.25">
      <c r="A1830" s="131"/>
    </row>
    <row r="1831" spans="1:1" x14ac:dyDescent="0.25">
      <c r="A1831" s="131"/>
    </row>
    <row r="1832" spans="1:1" x14ac:dyDescent="0.25">
      <c r="A1832" s="131"/>
    </row>
    <row r="1833" spans="1:1" x14ac:dyDescent="0.25">
      <c r="A1833" s="131"/>
    </row>
    <row r="1834" spans="1:1" x14ac:dyDescent="0.25">
      <c r="A1834" s="131"/>
    </row>
    <row r="1835" spans="1:1" x14ac:dyDescent="0.25">
      <c r="A1835" s="131"/>
    </row>
    <row r="1836" spans="1:1" x14ac:dyDescent="0.25">
      <c r="A1836" s="131"/>
    </row>
    <row r="1837" spans="1:1" x14ac:dyDescent="0.25">
      <c r="A1837" s="131"/>
    </row>
    <row r="1838" spans="1:1" x14ac:dyDescent="0.25">
      <c r="A1838" s="131"/>
    </row>
    <row r="1839" spans="1:1" x14ac:dyDescent="0.25">
      <c r="A1839" s="131"/>
    </row>
    <row r="1840" spans="1:1" x14ac:dyDescent="0.25">
      <c r="A1840" s="131"/>
    </row>
    <row r="1841" spans="1:1" x14ac:dyDescent="0.25">
      <c r="A1841" s="131"/>
    </row>
    <row r="1842" spans="1:1" x14ac:dyDescent="0.25">
      <c r="A1842" s="131"/>
    </row>
    <row r="1843" spans="1:1" x14ac:dyDescent="0.25">
      <c r="A1843" s="131"/>
    </row>
    <row r="1844" spans="1:1" x14ac:dyDescent="0.25">
      <c r="A1844" s="131"/>
    </row>
    <row r="1845" spans="1:1" x14ac:dyDescent="0.25">
      <c r="A1845" s="131"/>
    </row>
    <row r="1846" spans="1:1" x14ac:dyDescent="0.25">
      <c r="A1846" s="131"/>
    </row>
    <row r="1847" spans="1:1" x14ac:dyDescent="0.25">
      <c r="A1847" s="131"/>
    </row>
    <row r="1848" spans="1:1" x14ac:dyDescent="0.25">
      <c r="A1848" s="131"/>
    </row>
    <row r="1849" spans="1:1" x14ac:dyDescent="0.25">
      <c r="A1849" s="131"/>
    </row>
    <row r="1850" spans="1:1" x14ac:dyDescent="0.25">
      <c r="A1850" s="131"/>
    </row>
    <row r="1851" spans="1:1" x14ac:dyDescent="0.25">
      <c r="A1851" s="131"/>
    </row>
    <row r="1852" spans="1:1" x14ac:dyDescent="0.25">
      <c r="A1852" s="131"/>
    </row>
    <row r="1853" spans="1:1" x14ac:dyDescent="0.25">
      <c r="A1853" s="131"/>
    </row>
    <row r="1854" spans="1:1" x14ac:dyDescent="0.25">
      <c r="A1854" s="131"/>
    </row>
    <row r="1855" spans="1:1" x14ac:dyDescent="0.25">
      <c r="A1855" s="131"/>
    </row>
    <row r="1856" spans="1:1" x14ac:dyDescent="0.25">
      <c r="A1856" s="131"/>
    </row>
    <row r="1857" spans="1:1" x14ac:dyDescent="0.25">
      <c r="A1857" s="131"/>
    </row>
    <row r="1858" spans="1:1" x14ac:dyDescent="0.25">
      <c r="A1858" s="131"/>
    </row>
    <row r="1859" spans="1:1" x14ac:dyDescent="0.25">
      <c r="A1859" s="131"/>
    </row>
    <row r="1860" spans="1:1" x14ac:dyDescent="0.25">
      <c r="A1860" s="131"/>
    </row>
    <row r="1861" spans="1:1" x14ac:dyDescent="0.25">
      <c r="A1861" s="131"/>
    </row>
    <row r="1862" spans="1:1" x14ac:dyDescent="0.25">
      <c r="A1862" s="131"/>
    </row>
    <row r="1863" spans="1:1" x14ac:dyDescent="0.25">
      <c r="A1863" s="131"/>
    </row>
    <row r="1864" spans="1:1" x14ac:dyDescent="0.25">
      <c r="A1864" s="131"/>
    </row>
    <row r="1865" spans="1:1" x14ac:dyDescent="0.25">
      <c r="A1865" s="131"/>
    </row>
    <row r="1866" spans="1:1" x14ac:dyDescent="0.25">
      <c r="A1866" s="131"/>
    </row>
    <row r="1867" spans="1:1" x14ac:dyDescent="0.25">
      <c r="A1867" s="131"/>
    </row>
    <row r="1868" spans="1:1" x14ac:dyDescent="0.25">
      <c r="A1868" s="131"/>
    </row>
    <row r="1869" spans="1:1" x14ac:dyDescent="0.25">
      <c r="A1869" s="131"/>
    </row>
    <row r="1870" spans="1:1" x14ac:dyDescent="0.25">
      <c r="A1870" s="131"/>
    </row>
    <row r="1871" spans="1:1" x14ac:dyDescent="0.25">
      <c r="A1871" s="131"/>
    </row>
    <row r="1872" spans="1:1" x14ac:dyDescent="0.25">
      <c r="A1872" s="131"/>
    </row>
    <row r="1873" spans="1:1" x14ac:dyDescent="0.25">
      <c r="A1873" s="131"/>
    </row>
    <row r="1874" spans="1:1" x14ac:dyDescent="0.25">
      <c r="A1874" s="131"/>
    </row>
    <row r="1875" spans="1:1" x14ac:dyDescent="0.25">
      <c r="A1875" s="131"/>
    </row>
    <row r="1876" spans="1:1" x14ac:dyDescent="0.25">
      <c r="A1876" s="131"/>
    </row>
    <row r="1877" spans="1:1" x14ac:dyDescent="0.25">
      <c r="A1877" s="131"/>
    </row>
    <row r="1878" spans="1:1" x14ac:dyDescent="0.25">
      <c r="A1878" s="131"/>
    </row>
    <row r="1879" spans="1:1" x14ac:dyDescent="0.25">
      <c r="A1879" s="131"/>
    </row>
    <row r="1880" spans="1:1" x14ac:dyDescent="0.25">
      <c r="A1880" s="131"/>
    </row>
    <row r="1881" spans="1:1" x14ac:dyDescent="0.25">
      <c r="A1881" s="131"/>
    </row>
    <row r="1882" spans="1:1" x14ac:dyDescent="0.25">
      <c r="A1882" s="131"/>
    </row>
    <row r="1883" spans="1:1" x14ac:dyDescent="0.25">
      <c r="A1883" s="131"/>
    </row>
    <row r="1884" spans="1:1" x14ac:dyDescent="0.25">
      <c r="A1884" s="131"/>
    </row>
    <row r="1885" spans="1:1" x14ac:dyDescent="0.25">
      <c r="A1885" s="131"/>
    </row>
    <row r="1886" spans="1:1" x14ac:dyDescent="0.25">
      <c r="A1886" s="131"/>
    </row>
    <row r="1887" spans="1:1" x14ac:dyDescent="0.25">
      <c r="A1887" s="131"/>
    </row>
    <row r="1888" spans="1:1" x14ac:dyDescent="0.25">
      <c r="A1888" s="131"/>
    </row>
    <row r="1889" spans="1:1" x14ac:dyDescent="0.25">
      <c r="A1889" s="131"/>
    </row>
    <row r="1890" spans="1:1" x14ac:dyDescent="0.25">
      <c r="A1890" s="131"/>
    </row>
    <row r="1891" spans="1:1" x14ac:dyDescent="0.25">
      <c r="A1891" s="131"/>
    </row>
    <row r="1892" spans="1:1" x14ac:dyDescent="0.25">
      <c r="A1892" s="131"/>
    </row>
    <row r="1893" spans="1:1" x14ac:dyDescent="0.25">
      <c r="A1893" s="131"/>
    </row>
    <row r="1894" spans="1:1" x14ac:dyDescent="0.25">
      <c r="A1894" s="131"/>
    </row>
    <row r="1895" spans="1:1" x14ac:dyDescent="0.25">
      <c r="A1895" s="131"/>
    </row>
    <row r="1896" spans="1:1" x14ac:dyDescent="0.25">
      <c r="A1896" s="131"/>
    </row>
    <row r="1897" spans="1:1" x14ac:dyDescent="0.25">
      <c r="A1897" s="131"/>
    </row>
    <row r="1898" spans="1:1" x14ac:dyDescent="0.25">
      <c r="A1898" s="131"/>
    </row>
    <row r="1899" spans="1:1" x14ac:dyDescent="0.25">
      <c r="A1899" s="131"/>
    </row>
    <row r="1900" spans="1:1" x14ac:dyDescent="0.25">
      <c r="A1900" s="131"/>
    </row>
    <row r="1901" spans="1:1" x14ac:dyDescent="0.25">
      <c r="A1901" s="131"/>
    </row>
    <row r="1902" spans="1:1" x14ac:dyDescent="0.25">
      <c r="A1902" s="131"/>
    </row>
    <row r="1903" spans="1:1" x14ac:dyDescent="0.25">
      <c r="A1903" s="131"/>
    </row>
    <row r="1904" spans="1:1" x14ac:dyDescent="0.25">
      <c r="A1904" s="131"/>
    </row>
    <row r="1905" spans="1:1" x14ac:dyDescent="0.25">
      <c r="A1905" s="131"/>
    </row>
    <row r="1906" spans="1:1" x14ac:dyDescent="0.25">
      <c r="A1906" s="131"/>
    </row>
    <row r="1907" spans="1:1" x14ac:dyDescent="0.25">
      <c r="A1907" s="131"/>
    </row>
    <row r="1908" spans="1:1" x14ac:dyDescent="0.25">
      <c r="A1908" s="131"/>
    </row>
    <row r="1909" spans="1:1" x14ac:dyDescent="0.25">
      <c r="A1909" s="131"/>
    </row>
    <row r="1910" spans="1:1" x14ac:dyDescent="0.25">
      <c r="A1910" s="131"/>
    </row>
    <row r="1911" spans="1:1" x14ac:dyDescent="0.25">
      <c r="A1911" s="131"/>
    </row>
    <row r="1912" spans="1:1" x14ac:dyDescent="0.25">
      <c r="A1912" s="131"/>
    </row>
    <row r="1913" spans="1:1" x14ac:dyDescent="0.25">
      <c r="A1913" s="131"/>
    </row>
    <row r="1914" spans="1:1" x14ac:dyDescent="0.25">
      <c r="A1914" s="131"/>
    </row>
    <row r="1915" spans="1:1" x14ac:dyDescent="0.25">
      <c r="A1915" s="131"/>
    </row>
    <row r="1916" spans="1:1" x14ac:dyDescent="0.25">
      <c r="A1916" s="131"/>
    </row>
    <row r="1917" spans="1:1" x14ac:dyDescent="0.25">
      <c r="A1917" s="131"/>
    </row>
    <row r="1918" spans="1:1" x14ac:dyDescent="0.25">
      <c r="A1918" s="131"/>
    </row>
    <row r="1919" spans="1:1" x14ac:dyDescent="0.25">
      <c r="A1919" s="131"/>
    </row>
    <row r="1920" spans="1:1" x14ac:dyDescent="0.25">
      <c r="A1920" s="131"/>
    </row>
    <row r="1921" spans="1:1" x14ac:dyDescent="0.25">
      <c r="A1921" s="131"/>
    </row>
    <row r="1922" spans="1:1" x14ac:dyDescent="0.25">
      <c r="A1922" s="131"/>
    </row>
    <row r="1923" spans="1:1" x14ac:dyDescent="0.25">
      <c r="A1923" s="131"/>
    </row>
    <row r="1924" spans="1:1" x14ac:dyDescent="0.25">
      <c r="A1924" s="131"/>
    </row>
    <row r="1925" spans="1:1" x14ac:dyDescent="0.25">
      <c r="A1925" s="131"/>
    </row>
    <row r="1926" spans="1:1" x14ac:dyDescent="0.25">
      <c r="A1926" s="131"/>
    </row>
    <row r="1927" spans="1:1" x14ac:dyDescent="0.25">
      <c r="A1927" s="131"/>
    </row>
    <row r="1928" spans="1:1" x14ac:dyDescent="0.25">
      <c r="A1928" s="131"/>
    </row>
    <row r="1929" spans="1:1" x14ac:dyDescent="0.25">
      <c r="A1929" s="131"/>
    </row>
    <row r="1930" spans="1:1" x14ac:dyDescent="0.25">
      <c r="A1930" s="131"/>
    </row>
    <row r="1931" spans="1:1" x14ac:dyDescent="0.25">
      <c r="A1931" s="131"/>
    </row>
    <row r="1932" spans="1:1" x14ac:dyDescent="0.25">
      <c r="A1932" s="131"/>
    </row>
    <row r="1933" spans="1:1" x14ac:dyDescent="0.25">
      <c r="A1933" s="131"/>
    </row>
    <row r="1934" spans="1:1" x14ac:dyDescent="0.25">
      <c r="A1934" s="131"/>
    </row>
    <row r="1935" spans="1:1" x14ac:dyDescent="0.25">
      <c r="A1935" s="131"/>
    </row>
    <row r="1936" spans="1:1" x14ac:dyDescent="0.25">
      <c r="A1936" s="131"/>
    </row>
    <row r="1937" spans="1:1" x14ac:dyDescent="0.25">
      <c r="A1937" s="131"/>
    </row>
    <row r="1938" spans="1:1" x14ac:dyDescent="0.25">
      <c r="A1938" s="131"/>
    </row>
    <row r="1939" spans="1:1" x14ac:dyDescent="0.25">
      <c r="A1939" s="131"/>
    </row>
    <row r="1940" spans="1:1" x14ac:dyDescent="0.25">
      <c r="A1940" s="131"/>
    </row>
    <row r="1941" spans="1:1" x14ac:dyDescent="0.25">
      <c r="A1941" s="131"/>
    </row>
    <row r="1942" spans="1:1" x14ac:dyDescent="0.25">
      <c r="A1942" s="131"/>
    </row>
    <row r="1943" spans="1:1" x14ac:dyDescent="0.25">
      <c r="A1943" s="131"/>
    </row>
    <row r="1944" spans="1:1" x14ac:dyDescent="0.25">
      <c r="A1944" s="131"/>
    </row>
    <row r="1945" spans="1:1" x14ac:dyDescent="0.25">
      <c r="A1945" s="131"/>
    </row>
    <row r="1946" spans="1:1" x14ac:dyDescent="0.25">
      <c r="A1946" s="131"/>
    </row>
    <row r="1947" spans="1:1" x14ac:dyDescent="0.25">
      <c r="A1947" s="131"/>
    </row>
    <row r="1948" spans="1:1" x14ac:dyDescent="0.25">
      <c r="A1948" s="131"/>
    </row>
    <row r="1949" spans="1:1" x14ac:dyDescent="0.25">
      <c r="A1949" s="131"/>
    </row>
    <row r="1950" spans="1:1" x14ac:dyDescent="0.25">
      <c r="A1950" s="131"/>
    </row>
    <row r="1951" spans="1:1" x14ac:dyDescent="0.25">
      <c r="A1951" s="131"/>
    </row>
    <row r="1952" spans="1:1" x14ac:dyDescent="0.25">
      <c r="A1952" s="131"/>
    </row>
    <row r="1953" spans="1:1" x14ac:dyDescent="0.25">
      <c r="A1953" s="131"/>
    </row>
    <row r="1954" spans="1:1" x14ac:dyDescent="0.25">
      <c r="A1954" s="131"/>
    </row>
    <row r="1955" spans="1:1" x14ac:dyDescent="0.25">
      <c r="A1955" s="131"/>
    </row>
    <row r="1956" spans="1:1" x14ac:dyDescent="0.25">
      <c r="A1956" s="131"/>
    </row>
    <row r="1957" spans="1:1" x14ac:dyDescent="0.25">
      <c r="A1957" s="131"/>
    </row>
    <row r="1958" spans="1:1" x14ac:dyDescent="0.25">
      <c r="A1958" s="131"/>
    </row>
    <row r="1959" spans="1:1" x14ac:dyDescent="0.25">
      <c r="A1959" s="131"/>
    </row>
    <row r="1960" spans="1:1" x14ac:dyDescent="0.25">
      <c r="A1960" s="131"/>
    </row>
    <row r="1961" spans="1:1" x14ac:dyDescent="0.25">
      <c r="A1961" s="131"/>
    </row>
    <row r="1962" spans="1:1" x14ac:dyDescent="0.25">
      <c r="A1962" s="131"/>
    </row>
    <row r="1963" spans="1:1" x14ac:dyDescent="0.25">
      <c r="A1963" s="131"/>
    </row>
    <row r="1964" spans="1:1" x14ac:dyDescent="0.25">
      <c r="A1964" s="131"/>
    </row>
    <row r="1965" spans="1:1" x14ac:dyDescent="0.25">
      <c r="A1965" s="131"/>
    </row>
    <row r="1966" spans="1:1" x14ac:dyDescent="0.25">
      <c r="A1966" s="131"/>
    </row>
    <row r="1967" spans="1:1" x14ac:dyDescent="0.25">
      <c r="A1967" s="131"/>
    </row>
    <row r="1968" spans="1:1" x14ac:dyDescent="0.25">
      <c r="A1968" s="131"/>
    </row>
    <row r="1969" spans="1:1" x14ac:dyDescent="0.25">
      <c r="A1969" s="131"/>
    </row>
    <row r="1970" spans="1:1" x14ac:dyDescent="0.25">
      <c r="A1970" s="131"/>
    </row>
    <row r="1971" spans="1:1" x14ac:dyDescent="0.25">
      <c r="A1971" s="131"/>
    </row>
    <row r="1972" spans="1:1" x14ac:dyDescent="0.25">
      <c r="A1972" s="131"/>
    </row>
    <row r="1973" spans="1:1" x14ac:dyDescent="0.25">
      <c r="A1973" s="131"/>
    </row>
    <row r="1974" spans="1:1" x14ac:dyDescent="0.25">
      <c r="A1974" s="131"/>
    </row>
    <row r="1975" spans="1:1" x14ac:dyDescent="0.25">
      <c r="A1975" s="131"/>
    </row>
    <row r="1976" spans="1:1" x14ac:dyDescent="0.25">
      <c r="A1976" s="131"/>
    </row>
    <row r="1977" spans="1:1" x14ac:dyDescent="0.25">
      <c r="A1977" s="131"/>
    </row>
    <row r="1978" spans="1:1" x14ac:dyDescent="0.25">
      <c r="A1978" s="131"/>
    </row>
    <row r="1979" spans="1:1" x14ac:dyDescent="0.25">
      <c r="A1979" s="131"/>
    </row>
    <row r="1980" spans="1:1" x14ac:dyDescent="0.25">
      <c r="A1980" s="131"/>
    </row>
    <row r="1981" spans="1:1" x14ac:dyDescent="0.25">
      <c r="A1981" s="131"/>
    </row>
    <row r="1982" spans="1:1" x14ac:dyDescent="0.25">
      <c r="A1982" s="131"/>
    </row>
    <row r="1983" spans="1:1" x14ac:dyDescent="0.25">
      <c r="A1983" s="131"/>
    </row>
    <row r="1984" spans="1:1" x14ac:dyDescent="0.25">
      <c r="A1984" s="131"/>
    </row>
    <row r="1985" spans="1:1" x14ac:dyDescent="0.25">
      <c r="A1985" s="131"/>
    </row>
    <row r="1986" spans="1:1" x14ac:dyDescent="0.25">
      <c r="A1986" s="131"/>
    </row>
    <row r="1987" spans="1:1" x14ac:dyDescent="0.25">
      <c r="A1987" s="131"/>
    </row>
    <row r="1988" spans="1:1" x14ac:dyDescent="0.25">
      <c r="A1988" s="131"/>
    </row>
    <row r="1989" spans="1:1" x14ac:dyDescent="0.25">
      <c r="A1989" s="131"/>
    </row>
    <row r="1990" spans="1:1" x14ac:dyDescent="0.25">
      <c r="A1990" s="131"/>
    </row>
    <row r="1991" spans="1:1" x14ac:dyDescent="0.25">
      <c r="A1991" s="131"/>
    </row>
    <row r="1992" spans="1:1" x14ac:dyDescent="0.25">
      <c r="A1992" s="131"/>
    </row>
    <row r="1993" spans="1:1" x14ac:dyDescent="0.25">
      <c r="A1993" s="131"/>
    </row>
    <row r="1994" spans="1:1" x14ac:dyDescent="0.25">
      <c r="A1994" s="131"/>
    </row>
    <row r="1995" spans="1:1" x14ac:dyDescent="0.25">
      <c r="A1995" s="131"/>
    </row>
    <row r="1996" spans="1:1" x14ac:dyDescent="0.25">
      <c r="A1996" s="131"/>
    </row>
    <row r="1997" spans="1:1" x14ac:dyDescent="0.25">
      <c r="A1997" s="131"/>
    </row>
    <row r="1998" spans="1:1" x14ac:dyDescent="0.25">
      <c r="A1998" s="131"/>
    </row>
    <row r="1999" spans="1:1" x14ac:dyDescent="0.25">
      <c r="A1999" s="131"/>
    </row>
    <row r="2000" spans="1:1" x14ac:dyDescent="0.25">
      <c r="A2000" s="131"/>
    </row>
    <row r="2001" spans="1:1" x14ac:dyDescent="0.25">
      <c r="A2001" s="131"/>
    </row>
    <row r="2002" spans="1:1" x14ac:dyDescent="0.25">
      <c r="A2002" s="131"/>
    </row>
    <row r="2003" spans="1:1" x14ac:dyDescent="0.25">
      <c r="A2003" s="131"/>
    </row>
    <row r="2004" spans="1:1" x14ac:dyDescent="0.25">
      <c r="A2004" s="131"/>
    </row>
    <row r="2005" spans="1:1" x14ac:dyDescent="0.25">
      <c r="A2005" s="131"/>
    </row>
    <row r="2006" spans="1:1" x14ac:dyDescent="0.25">
      <c r="A2006" s="131"/>
    </row>
    <row r="2007" spans="1:1" x14ac:dyDescent="0.25">
      <c r="A2007" s="131"/>
    </row>
    <row r="2008" spans="1:1" x14ac:dyDescent="0.25">
      <c r="A2008" s="131"/>
    </row>
    <row r="2009" spans="1:1" x14ac:dyDescent="0.25">
      <c r="A2009" s="131"/>
    </row>
    <row r="2010" spans="1:1" x14ac:dyDescent="0.25">
      <c r="A2010" s="131"/>
    </row>
    <row r="2011" spans="1:1" x14ac:dyDescent="0.25">
      <c r="A2011" s="131"/>
    </row>
    <row r="2012" spans="1:1" x14ac:dyDescent="0.25">
      <c r="A2012" s="131"/>
    </row>
    <row r="2013" spans="1:1" x14ac:dyDescent="0.25">
      <c r="A2013" s="131"/>
    </row>
    <row r="2014" spans="1:1" x14ac:dyDescent="0.25">
      <c r="A2014" s="131"/>
    </row>
    <row r="2015" spans="1:1" x14ac:dyDescent="0.25">
      <c r="A2015" s="131"/>
    </row>
    <row r="2016" spans="1:1" x14ac:dyDescent="0.25">
      <c r="A2016" s="131"/>
    </row>
    <row r="2017" spans="1:1" x14ac:dyDescent="0.25">
      <c r="A2017" s="131"/>
    </row>
    <row r="2018" spans="1:1" x14ac:dyDescent="0.25">
      <c r="A2018" s="131"/>
    </row>
    <row r="2019" spans="1:1" x14ac:dyDescent="0.25">
      <c r="A2019" s="131"/>
    </row>
    <row r="2020" spans="1:1" x14ac:dyDescent="0.25">
      <c r="A2020" s="131"/>
    </row>
    <row r="2021" spans="1:1" x14ac:dyDescent="0.25">
      <c r="A2021" s="131"/>
    </row>
    <row r="2022" spans="1:1" x14ac:dyDescent="0.25">
      <c r="A2022" s="131"/>
    </row>
    <row r="2023" spans="1:1" x14ac:dyDescent="0.25">
      <c r="A2023" s="131"/>
    </row>
    <row r="2024" spans="1:1" x14ac:dyDescent="0.25">
      <c r="A2024" s="131"/>
    </row>
    <row r="2025" spans="1:1" x14ac:dyDescent="0.25">
      <c r="A2025" s="131"/>
    </row>
    <row r="2026" spans="1:1" x14ac:dyDescent="0.25">
      <c r="A2026" s="131"/>
    </row>
    <row r="2027" spans="1:1" x14ac:dyDescent="0.25">
      <c r="A2027" s="131"/>
    </row>
    <row r="2028" spans="1:1" x14ac:dyDescent="0.25">
      <c r="A2028" s="131"/>
    </row>
    <row r="2029" spans="1:1" x14ac:dyDescent="0.25">
      <c r="A2029" s="131"/>
    </row>
    <row r="2030" spans="1:1" x14ac:dyDescent="0.25">
      <c r="A2030" s="131"/>
    </row>
    <row r="2031" spans="1:1" x14ac:dyDescent="0.25">
      <c r="A2031" s="131"/>
    </row>
    <row r="2032" spans="1:1" x14ac:dyDescent="0.25">
      <c r="A2032" s="131"/>
    </row>
    <row r="2033" spans="1:1" x14ac:dyDescent="0.25">
      <c r="A2033" s="131"/>
    </row>
    <row r="2034" spans="1:1" x14ac:dyDescent="0.25">
      <c r="A2034" s="131"/>
    </row>
    <row r="2035" spans="1:1" x14ac:dyDescent="0.25">
      <c r="A2035" s="131"/>
    </row>
    <row r="2036" spans="1:1" x14ac:dyDescent="0.25">
      <c r="A2036" s="131"/>
    </row>
    <row r="2037" spans="1:1" x14ac:dyDescent="0.25">
      <c r="A2037" s="131"/>
    </row>
    <row r="2038" spans="1:1" x14ac:dyDescent="0.25">
      <c r="A2038" s="131"/>
    </row>
    <row r="2039" spans="1:1" x14ac:dyDescent="0.25">
      <c r="A2039" s="131"/>
    </row>
    <row r="2040" spans="1:1" x14ac:dyDescent="0.25">
      <c r="A2040" s="131"/>
    </row>
    <row r="2041" spans="1:1" x14ac:dyDescent="0.25">
      <c r="A2041" s="131"/>
    </row>
    <row r="2042" spans="1:1" x14ac:dyDescent="0.25">
      <c r="A2042" s="131"/>
    </row>
    <row r="2043" spans="1:1" x14ac:dyDescent="0.25">
      <c r="A2043" s="131"/>
    </row>
    <row r="2044" spans="1:1" x14ac:dyDescent="0.25">
      <c r="A2044" s="131"/>
    </row>
    <row r="2045" spans="1:1" x14ac:dyDescent="0.25">
      <c r="A2045" s="131"/>
    </row>
    <row r="2046" spans="1:1" x14ac:dyDescent="0.25">
      <c r="A2046" s="131"/>
    </row>
    <row r="2047" spans="1:1" x14ac:dyDescent="0.25">
      <c r="A2047" s="131"/>
    </row>
    <row r="2048" spans="1:1" x14ac:dyDescent="0.25">
      <c r="A2048" s="131"/>
    </row>
    <row r="2049" spans="1:1" x14ac:dyDescent="0.25">
      <c r="A2049" s="131"/>
    </row>
    <row r="2050" spans="1:1" x14ac:dyDescent="0.25">
      <c r="A2050" s="131"/>
    </row>
    <row r="2051" spans="1:1" x14ac:dyDescent="0.25">
      <c r="A2051" s="131"/>
    </row>
    <row r="2052" spans="1:1" x14ac:dyDescent="0.25">
      <c r="A2052" s="131"/>
    </row>
    <row r="2053" spans="1:1" x14ac:dyDescent="0.25">
      <c r="A2053" s="131"/>
    </row>
    <row r="2054" spans="1:1" x14ac:dyDescent="0.25">
      <c r="A2054" s="131"/>
    </row>
    <row r="2055" spans="1:1" x14ac:dyDescent="0.25">
      <c r="A2055" s="131"/>
    </row>
    <row r="2056" spans="1:1" x14ac:dyDescent="0.25">
      <c r="A2056" s="131"/>
    </row>
    <row r="2057" spans="1:1" x14ac:dyDescent="0.25">
      <c r="A2057" s="131"/>
    </row>
    <row r="2058" spans="1:1" x14ac:dyDescent="0.25">
      <c r="A2058" s="131"/>
    </row>
    <row r="2059" spans="1:1" x14ac:dyDescent="0.25">
      <c r="A2059" s="131"/>
    </row>
    <row r="2060" spans="1:1" x14ac:dyDescent="0.25">
      <c r="A2060" s="131"/>
    </row>
    <row r="2061" spans="1:1" x14ac:dyDescent="0.25">
      <c r="A2061" s="131"/>
    </row>
    <row r="2062" spans="1:1" x14ac:dyDescent="0.25">
      <c r="A2062" s="131"/>
    </row>
    <row r="2063" spans="1:1" x14ac:dyDescent="0.25">
      <c r="A2063" s="131"/>
    </row>
    <row r="2064" spans="1:1" x14ac:dyDescent="0.25">
      <c r="A2064" s="131"/>
    </row>
    <row r="2065" spans="1:1" x14ac:dyDescent="0.25">
      <c r="A2065" s="131"/>
    </row>
    <row r="2066" spans="1:1" x14ac:dyDescent="0.25">
      <c r="A2066" s="131"/>
    </row>
    <row r="2067" spans="1:1" x14ac:dyDescent="0.25">
      <c r="A2067" s="131"/>
    </row>
    <row r="2068" spans="1:1" x14ac:dyDescent="0.25">
      <c r="A2068" s="131"/>
    </row>
    <row r="2069" spans="1:1" x14ac:dyDescent="0.25">
      <c r="A2069" s="131"/>
    </row>
    <row r="2070" spans="1:1" x14ac:dyDescent="0.25">
      <c r="A2070" s="131"/>
    </row>
    <row r="2071" spans="1:1" x14ac:dyDescent="0.25">
      <c r="A2071" s="131"/>
    </row>
    <row r="2072" spans="1:1" x14ac:dyDescent="0.25">
      <c r="A2072" s="131"/>
    </row>
    <row r="2073" spans="1:1" x14ac:dyDescent="0.25">
      <c r="A2073" s="131"/>
    </row>
    <row r="2074" spans="1:1" x14ac:dyDescent="0.25">
      <c r="A2074" s="131"/>
    </row>
    <row r="2075" spans="1:1" x14ac:dyDescent="0.25">
      <c r="A2075" s="131"/>
    </row>
    <row r="2076" spans="1:1" x14ac:dyDescent="0.25">
      <c r="A2076" s="131"/>
    </row>
    <row r="2077" spans="1:1" x14ac:dyDescent="0.25">
      <c r="A2077" s="131"/>
    </row>
    <row r="2078" spans="1:1" x14ac:dyDescent="0.25">
      <c r="A2078" s="131"/>
    </row>
    <row r="2079" spans="1:1" x14ac:dyDescent="0.25">
      <c r="A2079" s="131"/>
    </row>
    <row r="2080" spans="1:1" x14ac:dyDescent="0.25">
      <c r="A2080" s="131"/>
    </row>
    <row r="2081" spans="1:1" x14ac:dyDescent="0.25">
      <c r="A2081" s="131"/>
    </row>
    <row r="2082" spans="1:1" x14ac:dyDescent="0.25">
      <c r="A2082" s="131"/>
    </row>
    <row r="2083" spans="1:1" x14ac:dyDescent="0.25">
      <c r="A2083" s="131"/>
    </row>
    <row r="2084" spans="1:1" x14ac:dyDescent="0.25">
      <c r="A2084" s="131"/>
    </row>
    <row r="2085" spans="1:1" x14ac:dyDescent="0.25">
      <c r="A2085" s="131"/>
    </row>
    <row r="2086" spans="1:1" x14ac:dyDescent="0.25">
      <c r="A2086" s="131"/>
    </row>
    <row r="2087" spans="1:1" x14ac:dyDescent="0.25">
      <c r="A2087" s="131"/>
    </row>
    <row r="2088" spans="1:1" x14ac:dyDescent="0.25">
      <c r="A2088" s="131"/>
    </row>
    <row r="2089" spans="1:1" x14ac:dyDescent="0.25">
      <c r="A2089" s="131"/>
    </row>
    <row r="2090" spans="1:1" x14ac:dyDescent="0.25">
      <c r="A2090" s="131"/>
    </row>
    <row r="2091" spans="1:1" x14ac:dyDescent="0.25">
      <c r="A2091" s="131"/>
    </row>
    <row r="2092" spans="1:1" x14ac:dyDescent="0.25">
      <c r="A2092" s="131"/>
    </row>
    <row r="2093" spans="1:1" x14ac:dyDescent="0.25">
      <c r="A2093" s="131"/>
    </row>
    <row r="2094" spans="1:1" x14ac:dyDescent="0.25">
      <c r="A2094" s="131"/>
    </row>
    <row r="2095" spans="1:1" x14ac:dyDescent="0.25">
      <c r="A2095" s="131"/>
    </row>
    <row r="2096" spans="1:1" x14ac:dyDescent="0.25">
      <c r="A2096" s="131"/>
    </row>
    <row r="2097" spans="1:1" x14ac:dyDescent="0.25">
      <c r="A2097" s="131"/>
    </row>
    <row r="2098" spans="1:1" x14ac:dyDescent="0.25">
      <c r="A2098" s="131"/>
    </row>
    <row r="2099" spans="1:1" x14ac:dyDescent="0.25">
      <c r="A2099" s="131"/>
    </row>
    <row r="2100" spans="1:1" x14ac:dyDescent="0.25">
      <c r="A2100" s="131"/>
    </row>
    <row r="2101" spans="1:1" x14ac:dyDescent="0.25">
      <c r="A2101" s="131"/>
    </row>
    <row r="2102" spans="1:1" x14ac:dyDescent="0.25">
      <c r="A2102" s="131"/>
    </row>
    <row r="2103" spans="1:1" x14ac:dyDescent="0.25">
      <c r="A2103" s="131"/>
    </row>
    <row r="2104" spans="1:1" x14ac:dyDescent="0.25">
      <c r="A2104" s="131"/>
    </row>
    <row r="2105" spans="1:1" x14ac:dyDescent="0.25">
      <c r="A2105" s="131"/>
    </row>
    <row r="2106" spans="1:1" x14ac:dyDescent="0.25">
      <c r="A2106" s="131"/>
    </row>
    <row r="2107" spans="1:1" x14ac:dyDescent="0.25">
      <c r="A2107" s="131"/>
    </row>
    <row r="2108" spans="1:1" x14ac:dyDescent="0.25">
      <c r="A2108" s="131"/>
    </row>
    <row r="2109" spans="1:1" x14ac:dyDescent="0.25">
      <c r="A2109" s="131"/>
    </row>
    <row r="2110" spans="1:1" x14ac:dyDescent="0.25">
      <c r="A2110" s="131"/>
    </row>
    <row r="2111" spans="1:1" x14ac:dyDescent="0.25">
      <c r="A2111" s="131"/>
    </row>
    <row r="2112" spans="1:1" x14ac:dyDescent="0.25">
      <c r="A2112" s="131"/>
    </row>
    <row r="2113" spans="1:1" x14ac:dyDescent="0.25">
      <c r="A2113" s="131"/>
    </row>
    <row r="2114" spans="1:1" x14ac:dyDescent="0.25">
      <c r="A2114" s="131"/>
    </row>
    <row r="2115" spans="1:1" x14ac:dyDescent="0.25">
      <c r="A2115" s="131"/>
    </row>
    <row r="2116" spans="1:1" x14ac:dyDescent="0.25">
      <c r="A2116" s="131"/>
    </row>
    <row r="2117" spans="1:1" x14ac:dyDescent="0.25">
      <c r="A2117" s="131"/>
    </row>
    <row r="2118" spans="1:1" x14ac:dyDescent="0.25">
      <c r="A2118" s="131"/>
    </row>
    <row r="2119" spans="1:1" x14ac:dyDescent="0.25">
      <c r="A2119" s="131"/>
    </row>
    <row r="2120" spans="1:1" x14ac:dyDescent="0.25">
      <c r="A2120" s="131"/>
    </row>
    <row r="2121" spans="1:1" x14ac:dyDescent="0.25">
      <c r="A2121" s="131"/>
    </row>
    <row r="2122" spans="1:1" x14ac:dyDescent="0.25">
      <c r="A2122" s="131"/>
    </row>
    <row r="2123" spans="1:1" x14ac:dyDescent="0.25">
      <c r="A2123" s="131"/>
    </row>
    <row r="2124" spans="1:1" x14ac:dyDescent="0.25">
      <c r="A2124" s="131"/>
    </row>
    <row r="2125" spans="1:1" x14ac:dyDescent="0.25">
      <c r="A2125" s="131"/>
    </row>
    <row r="2126" spans="1:1" x14ac:dyDescent="0.25">
      <c r="A2126" s="131"/>
    </row>
    <row r="2127" spans="1:1" x14ac:dyDescent="0.25">
      <c r="A2127" s="131"/>
    </row>
    <row r="2128" spans="1:1" x14ac:dyDescent="0.25">
      <c r="A2128" s="131"/>
    </row>
    <row r="2129" spans="1:1" x14ac:dyDescent="0.25">
      <c r="A2129" s="131"/>
    </row>
    <row r="2130" spans="1:1" x14ac:dyDescent="0.25">
      <c r="A2130" s="131"/>
    </row>
    <row r="2131" spans="1:1" x14ac:dyDescent="0.25">
      <c r="A2131" s="131"/>
    </row>
    <row r="2132" spans="1:1" x14ac:dyDescent="0.25">
      <c r="A2132" s="131"/>
    </row>
    <row r="2133" spans="1:1" x14ac:dyDescent="0.25">
      <c r="A2133" s="131"/>
    </row>
    <row r="2134" spans="1:1" x14ac:dyDescent="0.25">
      <c r="A2134" s="131"/>
    </row>
    <row r="2135" spans="1:1" x14ac:dyDescent="0.25">
      <c r="A2135" s="131"/>
    </row>
    <row r="2136" spans="1:1" x14ac:dyDescent="0.25">
      <c r="A2136" s="131"/>
    </row>
    <row r="2137" spans="1:1" x14ac:dyDescent="0.25">
      <c r="A2137" s="131"/>
    </row>
    <row r="2138" spans="1:1" x14ac:dyDescent="0.25">
      <c r="A2138" s="131"/>
    </row>
    <row r="2139" spans="1:1" x14ac:dyDescent="0.25">
      <c r="A2139" s="131"/>
    </row>
    <row r="2140" spans="1:1" x14ac:dyDescent="0.25">
      <c r="A2140" s="131"/>
    </row>
    <row r="2141" spans="1:1" x14ac:dyDescent="0.25">
      <c r="A2141" s="131"/>
    </row>
    <row r="2142" spans="1:1" x14ac:dyDescent="0.25">
      <c r="A2142" s="131"/>
    </row>
    <row r="2143" spans="1:1" x14ac:dyDescent="0.25">
      <c r="A2143" s="131"/>
    </row>
    <row r="2144" spans="1:1" x14ac:dyDescent="0.25">
      <c r="A2144" s="131"/>
    </row>
    <row r="2145" spans="1:1" x14ac:dyDescent="0.25">
      <c r="A2145" s="131"/>
    </row>
    <row r="2146" spans="1:1" x14ac:dyDescent="0.25">
      <c r="A2146" s="131"/>
    </row>
    <row r="2147" spans="1:1" x14ac:dyDescent="0.25">
      <c r="A2147" s="131"/>
    </row>
    <row r="2148" spans="1:1" x14ac:dyDescent="0.25">
      <c r="A2148" s="131"/>
    </row>
    <row r="2149" spans="1:1" x14ac:dyDescent="0.25">
      <c r="A2149" s="131"/>
    </row>
    <row r="2150" spans="1:1" x14ac:dyDescent="0.25">
      <c r="A2150" s="131"/>
    </row>
    <row r="2151" spans="1:1" x14ac:dyDescent="0.25">
      <c r="A2151" s="131"/>
    </row>
    <row r="2152" spans="1:1" x14ac:dyDescent="0.25">
      <c r="A2152" s="131"/>
    </row>
    <row r="2153" spans="1:1" x14ac:dyDescent="0.25">
      <c r="A2153" s="131"/>
    </row>
    <row r="2154" spans="1:1" x14ac:dyDescent="0.25">
      <c r="A2154" s="131"/>
    </row>
    <row r="2155" spans="1:1" x14ac:dyDescent="0.25">
      <c r="A2155" s="131"/>
    </row>
    <row r="2156" spans="1:1" x14ac:dyDescent="0.25">
      <c r="A2156" s="131"/>
    </row>
    <row r="2157" spans="1:1" x14ac:dyDescent="0.25">
      <c r="A2157" s="131"/>
    </row>
    <row r="2158" spans="1:1" x14ac:dyDescent="0.25">
      <c r="A2158" s="131"/>
    </row>
    <row r="2159" spans="1:1" x14ac:dyDescent="0.25">
      <c r="A2159" s="131"/>
    </row>
    <row r="2160" spans="1:1" x14ac:dyDescent="0.25">
      <c r="A2160" s="131"/>
    </row>
    <row r="2161" spans="1:1" x14ac:dyDescent="0.25">
      <c r="A2161" s="131"/>
    </row>
    <row r="2162" spans="1:1" x14ac:dyDescent="0.25">
      <c r="A2162" s="131"/>
    </row>
    <row r="2163" spans="1:1" x14ac:dyDescent="0.25">
      <c r="A2163" s="131"/>
    </row>
    <row r="2164" spans="1:1" x14ac:dyDescent="0.25">
      <c r="A2164" s="131"/>
    </row>
    <row r="2165" spans="1:1" x14ac:dyDescent="0.25">
      <c r="A2165" s="131"/>
    </row>
    <row r="2166" spans="1:1" x14ac:dyDescent="0.25">
      <c r="A2166" s="131"/>
    </row>
    <row r="2167" spans="1:1" x14ac:dyDescent="0.25">
      <c r="A2167" s="131"/>
    </row>
    <row r="2168" spans="1:1" x14ac:dyDescent="0.25">
      <c r="A2168" s="131"/>
    </row>
    <row r="2169" spans="1:1" x14ac:dyDescent="0.25">
      <c r="A2169" s="131"/>
    </row>
    <row r="2170" spans="1:1" x14ac:dyDescent="0.25">
      <c r="A2170" s="131"/>
    </row>
    <row r="2171" spans="1:1" x14ac:dyDescent="0.25">
      <c r="A2171" s="131"/>
    </row>
    <row r="2172" spans="1:1" x14ac:dyDescent="0.25">
      <c r="A2172" s="131"/>
    </row>
    <row r="2173" spans="1:1" x14ac:dyDescent="0.25">
      <c r="A2173" s="131"/>
    </row>
    <row r="2174" spans="1:1" x14ac:dyDescent="0.25">
      <c r="A2174" s="131"/>
    </row>
    <row r="2175" spans="1:1" x14ac:dyDescent="0.25">
      <c r="A2175" s="131"/>
    </row>
    <row r="2176" spans="1:1" x14ac:dyDescent="0.25">
      <c r="A2176" s="131"/>
    </row>
    <row r="2177" spans="1:1" x14ac:dyDescent="0.25">
      <c r="A2177" s="131"/>
    </row>
    <row r="2178" spans="1:1" x14ac:dyDescent="0.25">
      <c r="A2178" s="131"/>
    </row>
    <row r="2179" spans="1:1" x14ac:dyDescent="0.25">
      <c r="A2179" s="131"/>
    </row>
    <row r="2180" spans="1:1" x14ac:dyDescent="0.25">
      <c r="A2180" s="131"/>
    </row>
    <row r="2181" spans="1:1" x14ac:dyDescent="0.25">
      <c r="A2181" s="131"/>
    </row>
    <row r="2182" spans="1:1" x14ac:dyDescent="0.25">
      <c r="A2182" s="131"/>
    </row>
    <row r="2183" spans="1:1" x14ac:dyDescent="0.25">
      <c r="A2183" s="131"/>
    </row>
    <row r="2184" spans="1:1" x14ac:dyDescent="0.25">
      <c r="A2184" s="131"/>
    </row>
    <row r="2185" spans="1:1" x14ac:dyDescent="0.25">
      <c r="A2185" s="131"/>
    </row>
    <row r="2186" spans="1:1" x14ac:dyDescent="0.25">
      <c r="A2186" s="131"/>
    </row>
    <row r="2187" spans="1:1" x14ac:dyDescent="0.25">
      <c r="A2187" s="131"/>
    </row>
    <row r="2188" spans="1:1" x14ac:dyDescent="0.25">
      <c r="A2188" s="131"/>
    </row>
    <row r="2189" spans="1:1" x14ac:dyDescent="0.25">
      <c r="A2189" s="131"/>
    </row>
    <row r="2190" spans="1:1" x14ac:dyDescent="0.25">
      <c r="A2190" s="131"/>
    </row>
    <row r="2191" spans="1:1" x14ac:dyDescent="0.25">
      <c r="A2191" s="131"/>
    </row>
    <row r="2192" spans="1:1" x14ac:dyDescent="0.25">
      <c r="A2192" s="131"/>
    </row>
    <row r="2193" spans="1:1" x14ac:dyDescent="0.25">
      <c r="A2193" s="131"/>
    </row>
    <row r="2194" spans="1:1" x14ac:dyDescent="0.25">
      <c r="A2194" s="131"/>
    </row>
    <row r="2195" spans="1:1" x14ac:dyDescent="0.25">
      <c r="A2195" s="131"/>
    </row>
    <row r="2196" spans="1:1" x14ac:dyDescent="0.25">
      <c r="A2196" s="131"/>
    </row>
    <row r="2197" spans="1:1" x14ac:dyDescent="0.25">
      <c r="A2197" s="131"/>
    </row>
    <row r="2198" spans="1:1" x14ac:dyDescent="0.25">
      <c r="A2198" s="131"/>
    </row>
    <row r="2199" spans="1:1" x14ac:dyDescent="0.25">
      <c r="A2199" s="131"/>
    </row>
    <row r="2200" spans="1:1" x14ac:dyDescent="0.25">
      <c r="A2200" s="131"/>
    </row>
    <row r="2201" spans="1:1" x14ac:dyDescent="0.25">
      <c r="A2201" s="131"/>
    </row>
    <row r="2202" spans="1:1" x14ac:dyDescent="0.25">
      <c r="A2202" s="131"/>
    </row>
    <row r="2203" spans="1:1" x14ac:dyDescent="0.25">
      <c r="A2203" s="131"/>
    </row>
    <row r="2204" spans="1:1" x14ac:dyDescent="0.25">
      <c r="A2204" s="131"/>
    </row>
    <row r="2205" spans="1:1" x14ac:dyDescent="0.25">
      <c r="A2205" s="131"/>
    </row>
    <row r="2206" spans="1:1" x14ac:dyDescent="0.25">
      <c r="A2206" s="131"/>
    </row>
    <row r="2207" spans="1:1" x14ac:dyDescent="0.25">
      <c r="A2207" s="131"/>
    </row>
    <row r="2208" spans="1:1" x14ac:dyDescent="0.25">
      <c r="A2208" s="131"/>
    </row>
    <row r="2209" spans="1:1" x14ac:dyDescent="0.25">
      <c r="A2209" s="131"/>
    </row>
    <row r="2210" spans="1:1" x14ac:dyDescent="0.25">
      <c r="A2210" s="131"/>
    </row>
    <row r="2211" spans="1:1" x14ac:dyDescent="0.25">
      <c r="A2211" s="131"/>
    </row>
    <row r="2212" spans="1:1" x14ac:dyDescent="0.25">
      <c r="A2212" s="131"/>
    </row>
    <row r="2213" spans="1:1" x14ac:dyDescent="0.25">
      <c r="A2213" s="131"/>
    </row>
    <row r="2214" spans="1:1" x14ac:dyDescent="0.25">
      <c r="A2214" s="131"/>
    </row>
    <row r="2215" spans="1:1" x14ac:dyDescent="0.25">
      <c r="A2215" s="131"/>
    </row>
    <row r="2216" spans="1:1" x14ac:dyDescent="0.25">
      <c r="A2216" s="131"/>
    </row>
    <row r="2217" spans="1:1" x14ac:dyDescent="0.25">
      <c r="A2217" s="131"/>
    </row>
    <row r="2218" spans="1:1" x14ac:dyDescent="0.25">
      <c r="A2218" s="131"/>
    </row>
    <row r="2219" spans="1:1" x14ac:dyDescent="0.25">
      <c r="A2219" s="131"/>
    </row>
    <row r="2220" spans="1:1" x14ac:dyDescent="0.25">
      <c r="A2220" s="131"/>
    </row>
    <row r="2221" spans="1:1" x14ac:dyDescent="0.25">
      <c r="A2221" s="131"/>
    </row>
    <row r="2222" spans="1:1" x14ac:dyDescent="0.25">
      <c r="A2222" s="131"/>
    </row>
    <row r="2223" spans="1:1" x14ac:dyDescent="0.25">
      <c r="A2223" s="131"/>
    </row>
    <row r="2224" spans="1:1" x14ac:dyDescent="0.25">
      <c r="A2224" s="131"/>
    </row>
    <row r="2225" spans="1:1" x14ac:dyDescent="0.25">
      <c r="A2225" s="131"/>
    </row>
    <row r="2226" spans="1:1" x14ac:dyDescent="0.25">
      <c r="A2226" s="131"/>
    </row>
    <row r="2227" spans="1:1" x14ac:dyDescent="0.25">
      <c r="A2227" s="131"/>
    </row>
    <row r="2228" spans="1:1" x14ac:dyDescent="0.25">
      <c r="A2228" s="131"/>
    </row>
    <row r="2229" spans="1:1" x14ac:dyDescent="0.25">
      <c r="A2229" s="131"/>
    </row>
    <row r="2230" spans="1:1" x14ac:dyDescent="0.25">
      <c r="A2230" s="131"/>
    </row>
    <row r="2231" spans="1:1" x14ac:dyDescent="0.25">
      <c r="A2231" s="131"/>
    </row>
    <row r="2232" spans="1:1" x14ac:dyDescent="0.25">
      <c r="A2232" s="131"/>
    </row>
    <row r="2233" spans="1:1" x14ac:dyDescent="0.25">
      <c r="A2233" s="131"/>
    </row>
    <row r="2234" spans="1:1" x14ac:dyDescent="0.25">
      <c r="A2234" s="131"/>
    </row>
    <row r="2235" spans="1:1" x14ac:dyDescent="0.25">
      <c r="A2235" s="131"/>
    </row>
    <row r="2236" spans="1:1" x14ac:dyDescent="0.25">
      <c r="A2236" s="131"/>
    </row>
    <row r="2237" spans="1:1" x14ac:dyDescent="0.25">
      <c r="A2237" s="131"/>
    </row>
    <row r="2238" spans="1:1" x14ac:dyDescent="0.25">
      <c r="A2238" s="131"/>
    </row>
    <row r="2239" spans="1:1" x14ac:dyDescent="0.25">
      <c r="A2239" s="131"/>
    </row>
    <row r="2240" spans="1:1" x14ac:dyDescent="0.25">
      <c r="A2240" s="131"/>
    </row>
    <row r="2241" spans="1:1" x14ac:dyDescent="0.25">
      <c r="A2241" s="131"/>
    </row>
    <row r="2242" spans="1:1" x14ac:dyDescent="0.25">
      <c r="A2242" s="131"/>
    </row>
    <row r="2243" spans="1:1" x14ac:dyDescent="0.25">
      <c r="A2243" s="131"/>
    </row>
    <row r="2244" spans="1:1" x14ac:dyDescent="0.25">
      <c r="A2244" s="131"/>
    </row>
    <row r="2245" spans="1:1" x14ac:dyDescent="0.25">
      <c r="A2245" s="131"/>
    </row>
    <row r="2246" spans="1:1" x14ac:dyDescent="0.25">
      <c r="A2246" s="131"/>
    </row>
    <row r="2247" spans="1:1" x14ac:dyDescent="0.25">
      <c r="A2247" s="131"/>
    </row>
    <row r="2248" spans="1:1" x14ac:dyDescent="0.25">
      <c r="A2248" s="131"/>
    </row>
    <row r="2249" spans="1:1" x14ac:dyDescent="0.25">
      <c r="A2249" s="131"/>
    </row>
    <row r="2250" spans="1:1" x14ac:dyDescent="0.25">
      <c r="A2250" s="131"/>
    </row>
    <row r="2251" spans="1:1" x14ac:dyDescent="0.25">
      <c r="A2251" s="131"/>
    </row>
    <row r="2252" spans="1:1" x14ac:dyDescent="0.25">
      <c r="A2252" s="131"/>
    </row>
    <row r="2253" spans="1:1" x14ac:dyDescent="0.25">
      <c r="A2253" s="131"/>
    </row>
    <row r="2254" spans="1:1" x14ac:dyDescent="0.25">
      <c r="A2254" s="131"/>
    </row>
    <row r="2255" spans="1:1" x14ac:dyDescent="0.25">
      <c r="A2255" s="131"/>
    </row>
    <row r="2256" spans="1:1" x14ac:dyDescent="0.25">
      <c r="A2256" s="131"/>
    </row>
    <row r="2257" spans="1:1" x14ac:dyDescent="0.25">
      <c r="A2257" s="131"/>
    </row>
    <row r="2258" spans="1:1" x14ac:dyDescent="0.25">
      <c r="A2258" s="131"/>
    </row>
    <row r="2259" spans="1:1" x14ac:dyDescent="0.25">
      <c r="A2259" s="131"/>
    </row>
    <row r="2260" spans="1:1" x14ac:dyDescent="0.25">
      <c r="A2260" s="131"/>
    </row>
    <row r="2261" spans="1:1" x14ac:dyDescent="0.25">
      <c r="A2261" s="131"/>
    </row>
    <row r="2262" spans="1:1" x14ac:dyDescent="0.25">
      <c r="A2262" s="131"/>
    </row>
    <row r="2263" spans="1:1" x14ac:dyDescent="0.25">
      <c r="A2263" s="131"/>
    </row>
    <row r="2264" spans="1:1" x14ac:dyDescent="0.25">
      <c r="A2264" s="131"/>
    </row>
    <row r="2265" spans="1:1" x14ac:dyDescent="0.25">
      <c r="A2265" s="131"/>
    </row>
    <row r="2266" spans="1:1" x14ac:dyDescent="0.25">
      <c r="A2266" s="131"/>
    </row>
    <row r="2267" spans="1:1" x14ac:dyDescent="0.25">
      <c r="A2267" s="131"/>
    </row>
    <row r="2268" spans="1:1" x14ac:dyDescent="0.25">
      <c r="A2268" s="131"/>
    </row>
    <row r="2269" spans="1:1" x14ac:dyDescent="0.25">
      <c r="A2269" s="131"/>
    </row>
    <row r="2270" spans="1:1" x14ac:dyDescent="0.25">
      <c r="A2270" s="131"/>
    </row>
    <row r="2271" spans="1:1" x14ac:dyDescent="0.25">
      <c r="A2271" s="131"/>
    </row>
    <row r="2272" spans="1:1" x14ac:dyDescent="0.25">
      <c r="A2272" s="131"/>
    </row>
    <row r="2273" spans="1:1" x14ac:dyDescent="0.25">
      <c r="A2273" s="131"/>
    </row>
    <row r="2274" spans="1:1" x14ac:dyDescent="0.25">
      <c r="A2274" s="131"/>
    </row>
    <row r="2275" spans="1:1" x14ac:dyDescent="0.25">
      <c r="A2275" s="131"/>
    </row>
    <row r="2276" spans="1:1" x14ac:dyDescent="0.25">
      <c r="A2276" s="131"/>
    </row>
    <row r="2277" spans="1:1" x14ac:dyDescent="0.25">
      <c r="A2277" s="131"/>
    </row>
    <row r="2278" spans="1:1" x14ac:dyDescent="0.25">
      <c r="A2278" s="131"/>
    </row>
    <row r="2279" spans="1:1" x14ac:dyDescent="0.25">
      <c r="A2279" s="131"/>
    </row>
    <row r="2280" spans="1:1" x14ac:dyDescent="0.25">
      <c r="A2280" s="131"/>
    </row>
    <row r="2281" spans="1:1" x14ac:dyDescent="0.25">
      <c r="A2281" s="131"/>
    </row>
    <row r="2282" spans="1:1" x14ac:dyDescent="0.25">
      <c r="A2282" s="131"/>
    </row>
    <row r="2283" spans="1:1" x14ac:dyDescent="0.25">
      <c r="A2283" s="131"/>
    </row>
    <row r="2284" spans="1:1" x14ac:dyDescent="0.25">
      <c r="A2284" s="131"/>
    </row>
    <row r="2285" spans="1:1" x14ac:dyDescent="0.25">
      <c r="A2285" s="131"/>
    </row>
    <row r="2286" spans="1:1" x14ac:dyDescent="0.25">
      <c r="A2286" s="131"/>
    </row>
    <row r="2287" spans="1:1" x14ac:dyDescent="0.25">
      <c r="A2287" s="131"/>
    </row>
    <row r="2288" spans="1:1" x14ac:dyDescent="0.25">
      <c r="A2288" s="131"/>
    </row>
    <row r="2289" spans="1:1" x14ac:dyDescent="0.25">
      <c r="A2289" s="131"/>
    </row>
    <row r="2290" spans="1:1" x14ac:dyDescent="0.25">
      <c r="A2290" s="131"/>
    </row>
    <row r="2291" spans="1:1" x14ac:dyDescent="0.25">
      <c r="A2291" s="131"/>
    </row>
    <row r="2292" spans="1:1" x14ac:dyDescent="0.25">
      <c r="A2292" s="131"/>
    </row>
    <row r="2293" spans="1:1" x14ac:dyDescent="0.25">
      <c r="A2293" s="131"/>
    </row>
    <row r="2294" spans="1:1" x14ac:dyDescent="0.25">
      <c r="A2294" s="131"/>
    </row>
    <row r="2295" spans="1:1" x14ac:dyDescent="0.25">
      <c r="A2295" s="131"/>
    </row>
    <row r="2296" spans="1:1" x14ac:dyDescent="0.25">
      <c r="A2296" s="131"/>
    </row>
    <row r="2297" spans="1:1" x14ac:dyDescent="0.25">
      <c r="A2297" s="131"/>
    </row>
    <row r="2298" spans="1:1" x14ac:dyDescent="0.25">
      <c r="A2298" s="131"/>
    </row>
    <row r="2299" spans="1:1" x14ac:dyDescent="0.25">
      <c r="A2299" s="131"/>
    </row>
    <row r="2300" spans="1:1" x14ac:dyDescent="0.25">
      <c r="A2300" s="131"/>
    </row>
    <row r="2301" spans="1:1" x14ac:dyDescent="0.25">
      <c r="A2301" s="131"/>
    </row>
    <row r="2302" spans="1:1" x14ac:dyDescent="0.25">
      <c r="A2302" s="131"/>
    </row>
    <row r="2303" spans="1:1" x14ac:dyDescent="0.25">
      <c r="A2303" s="131"/>
    </row>
    <row r="2304" spans="1:1" x14ac:dyDescent="0.25">
      <c r="A2304" s="131"/>
    </row>
    <row r="2305" spans="1:1" x14ac:dyDescent="0.25">
      <c r="A2305" s="131"/>
    </row>
    <row r="2306" spans="1:1" x14ac:dyDescent="0.25">
      <c r="A2306" s="131"/>
    </row>
    <row r="2307" spans="1:1" x14ac:dyDescent="0.25">
      <c r="A2307" s="131"/>
    </row>
    <row r="2308" spans="1:1" x14ac:dyDescent="0.25">
      <c r="A2308" s="131"/>
    </row>
    <row r="2309" spans="1:1" x14ac:dyDescent="0.25">
      <c r="A2309" s="131"/>
    </row>
    <row r="2310" spans="1:1" x14ac:dyDescent="0.25">
      <c r="A2310" s="131"/>
    </row>
    <row r="2311" spans="1:1" x14ac:dyDescent="0.25">
      <c r="A2311" s="131"/>
    </row>
    <row r="2312" spans="1:1" x14ac:dyDescent="0.25">
      <c r="A2312" s="131"/>
    </row>
    <row r="2313" spans="1:1" x14ac:dyDescent="0.25">
      <c r="A2313" s="131"/>
    </row>
    <row r="2314" spans="1:1" x14ac:dyDescent="0.25">
      <c r="A2314" s="131"/>
    </row>
    <row r="2315" spans="1:1" x14ac:dyDescent="0.25">
      <c r="A2315" s="131"/>
    </row>
    <row r="2316" spans="1:1" x14ac:dyDescent="0.25">
      <c r="A2316" s="131"/>
    </row>
    <row r="2317" spans="1:1" x14ac:dyDescent="0.25">
      <c r="A2317" s="131"/>
    </row>
    <row r="2318" spans="1:1" x14ac:dyDescent="0.25">
      <c r="A2318" s="131"/>
    </row>
    <row r="2319" spans="1:1" x14ac:dyDescent="0.25">
      <c r="A2319" s="131"/>
    </row>
    <row r="2320" spans="1:1" x14ac:dyDescent="0.25">
      <c r="A2320" s="131"/>
    </row>
    <row r="2321" spans="1:1" x14ac:dyDescent="0.25">
      <c r="A2321" s="131"/>
    </row>
    <row r="2322" spans="1:1" x14ac:dyDescent="0.25">
      <c r="A2322" s="131"/>
    </row>
    <row r="2323" spans="1:1" x14ac:dyDescent="0.25">
      <c r="A2323" s="131"/>
    </row>
    <row r="2324" spans="1:1" x14ac:dyDescent="0.25">
      <c r="A2324" s="131"/>
    </row>
    <row r="2325" spans="1:1" x14ac:dyDescent="0.25">
      <c r="A2325" s="131"/>
    </row>
    <row r="2326" spans="1:1" x14ac:dyDescent="0.25">
      <c r="A2326" s="131"/>
    </row>
    <row r="2327" spans="1:1" x14ac:dyDescent="0.25">
      <c r="A2327" s="131"/>
    </row>
    <row r="2328" spans="1:1" x14ac:dyDescent="0.25">
      <c r="A2328" s="131"/>
    </row>
    <row r="2329" spans="1:1" x14ac:dyDescent="0.25">
      <c r="A2329" s="131"/>
    </row>
    <row r="2330" spans="1:1" x14ac:dyDescent="0.25">
      <c r="A2330" s="131"/>
    </row>
    <row r="2331" spans="1:1" x14ac:dyDescent="0.25">
      <c r="A2331" s="131"/>
    </row>
    <row r="2332" spans="1:1" x14ac:dyDescent="0.25">
      <c r="A2332" s="131"/>
    </row>
    <row r="2333" spans="1:1" x14ac:dyDescent="0.25">
      <c r="A2333" s="131"/>
    </row>
    <row r="2334" spans="1:1" x14ac:dyDescent="0.25">
      <c r="A2334" s="131"/>
    </row>
    <row r="2335" spans="1:1" x14ac:dyDescent="0.25">
      <c r="A2335" s="131"/>
    </row>
    <row r="2336" spans="1:1" x14ac:dyDescent="0.25">
      <c r="A2336" s="131"/>
    </row>
    <row r="2337" spans="1:1" x14ac:dyDescent="0.25">
      <c r="A2337" s="131"/>
    </row>
    <row r="2338" spans="1:1" x14ac:dyDescent="0.25">
      <c r="A2338" s="131"/>
    </row>
    <row r="2339" spans="1:1" x14ac:dyDescent="0.25">
      <c r="A2339" s="131"/>
    </row>
    <row r="2340" spans="1:1" x14ac:dyDescent="0.25">
      <c r="A2340" s="131"/>
    </row>
    <row r="2341" spans="1:1" x14ac:dyDescent="0.25">
      <c r="A2341" s="131"/>
    </row>
    <row r="2342" spans="1:1" x14ac:dyDescent="0.25">
      <c r="A2342" s="131"/>
    </row>
    <row r="2343" spans="1:1" x14ac:dyDescent="0.25">
      <c r="A2343" s="131"/>
    </row>
    <row r="2344" spans="1:1" x14ac:dyDescent="0.25">
      <c r="A2344" s="131"/>
    </row>
    <row r="2345" spans="1:1" x14ac:dyDescent="0.25">
      <c r="A2345" s="131"/>
    </row>
    <row r="2346" spans="1:1" x14ac:dyDescent="0.25">
      <c r="A2346" s="131"/>
    </row>
    <row r="2347" spans="1:1" x14ac:dyDescent="0.25">
      <c r="A2347" s="131"/>
    </row>
    <row r="2348" spans="1:1" x14ac:dyDescent="0.25">
      <c r="A2348" s="131"/>
    </row>
    <row r="2349" spans="1:1" x14ac:dyDescent="0.25">
      <c r="A2349" s="131"/>
    </row>
    <row r="2350" spans="1:1" x14ac:dyDescent="0.25">
      <c r="A2350" s="131"/>
    </row>
    <row r="2351" spans="1:1" x14ac:dyDescent="0.25">
      <c r="A2351" s="131"/>
    </row>
    <row r="2352" spans="1:1" x14ac:dyDescent="0.25">
      <c r="A2352" s="131"/>
    </row>
    <row r="2353" spans="1:1" x14ac:dyDescent="0.25">
      <c r="A2353" s="131"/>
    </row>
    <row r="2354" spans="1:1" x14ac:dyDescent="0.25">
      <c r="A2354" s="131"/>
    </row>
    <row r="2355" spans="1:1" x14ac:dyDescent="0.25">
      <c r="A2355" s="131"/>
    </row>
    <row r="2356" spans="1:1" x14ac:dyDescent="0.25">
      <c r="A2356" s="131"/>
    </row>
    <row r="2357" spans="1:1" x14ac:dyDescent="0.25">
      <c r="A2357" s="131"/>
    </row>
    <row r="2358" spans="1:1" x14ac:dyDescent="0.25">
      <c r="A2358" s="131"/>
    </row>
    <row r="2359" spans="1:1" x14ac:dyDescent="0.25">
      <c r="A2359" s="131"/>
    </row>
    <row r="2360" spans="1:1" x14ac:dyDescent="0.25">
      <c r="A2360" s="131"/>
    </row>
    <row r="2361" spans="1:1" x14ac:dyDescent="0.25">
      <c r="A2361" s="131"/>
    </row>
    <row r="2362" spans="1:1" x14ac:dyDescent="0.25">
      <c r="A2362" s="131"/>
    </row>
    <row r="2363" spans="1:1" x14ac:dyDescent="0.25">
      <c r="A2363" s="131"/>
    </row>
    <row r="2364" spans="1:1" x14ac:dyDescent="0.25">
      <c r="A2364" s="131"/>
    </row>
    <row r="2365" spans="1:1" x14ac:dyDescent="0.25">
      <c r="A2365" s="131"/>
    </row>
    <row r="2366" spans="1:1" x14ac:dyDescent="0.25">
      <c r="A2366" s="131"/>
    </row>
    <row r="2367" spans="1:1" x14ac:dyDescent="0.25">
      <c r="A2367" s="131"/>
    </row>
    <row r="2368" spans="1:1" x14ac:dyDescent="0.25">
      <c r="A2368" s="131"/>
    </row>
    <row r="2369" spans="1:1" x14ac:dyDescent="0.25">
      <c r="A2369" s="131"/>
    </row>
    <row r="2370" spans="1:1" x14ac:dyDescent="0.25">
      <c r="A2370" s="131"/>
    </row>
    <row r="2371" spans="1:1" x14ac:dyDescent="0.25">
      <c r="A2371" s="131"/>
    </row>
    <row r="2372" spans="1:1" x14ac:dyDescent="0.25">
      <c r="A2372" s="131"/>
    </row>
    <row r="2373" spans="1:1" x14ac:dyDescent="0.25">
      <c r="A2373" s="131"/>
    </row>
    <row r="2374" spans="1:1" x14ac:dyDescent="0.25">
      <c r="A2374" s="131"/>
    </row>
    <row r="2375" spans="1:1" x14ac:dyDescent="0.25">
      <c r="A2375" s="131"/>
    </row>
    <row r="2376" spans="1:1" x14ac:dyDescent="0.25">
      <c r="A2376" s="131"/>
    </row>
    <row r="2377" spans="1:1" x14ac:dyDescent="0.25">
      <c r="A2377" s="131"/>
    </row>
    <row r="2378" spans="1:1" x14ac:dyDescent="0.25">
      <c r="A2378" s="131"/>
    </row>
    <row r="2379" spans="1:1" x14ac:dyDescent="0.25">
      <c r="A2379" s="131"/>
    </row>
    <row r="2380" spans="1:1" x14ac:dyDescent="0.25">
      <c r="A2380" s="131"/>
    </row>
    <row r="2381" spans="1:1" x14ac:dyDescent="0.25">
      <c r="A2381" s="131"/>
    </row>
    <row r="2382" spans="1:1" x14ac:dyDescent="0.25">
      <c r="A2382" s="131"/>
    </row>
    <row r="2383" spans="1:1" x14ac:dyDescent="0.25">
      <c r="A2383" s="131"/>
    </row>
    <row r="2384" spans="1:1" x14ac:dyDescent="0.25">
      <c r="A2384" s="131"/>
    </row>
    <row r="2385" spans="1:1" x14ac:dyDescent="0.25">
      <c r="A2385" s="131"/>
    </row>
    <row r="2386" spans="1:1" x14ac:dyDescent="0.25">
      <c r="A2386" s="131"/>
    </row>
    <row r="2387" spans="1:1" x14ac:dyDescent="0.25">
      <c r="A2387" s="131"/>
    </row>
    <row r="2388" spans="1:1" x14ac:dyDescent="0.25">
      <c r="A2388" s="131"/>
    </row>
    <row r="2389" spans="1:1" x14ac:dyDescent="0.25">
      <c r="A2389" s="131"/>
    </row>
    <row r="2390" spans="1:1" x14ac:dyDescent="0.25">
      <c r="A2390" s="131"/>
    </row>
    <row r="2391" spans="1:1" x14ac:dyDescent="0.25">
      <c r="A2391" s="131"/>
    </row>
    <row r="2392" spans="1:1" x14ac:dyDescent="0.25">
      <c r="A2392" s="131"/>
    </row>
    <row r="2393" spans="1:1" x14ac:dyDescent="0.25">
      <c r="A2393" s="131"/>
    </row>
    <row r="2394" spans="1:1" x14ac:dyDescent="0.25">
      <c r="A2394" s="131"/>
    </row>
    <row r="2395" spans="1:1" x14ac:dyDescent="0.25">
      <c r="A2395" s="131"/>
    </row>
    <row r="2396" spans="1:1" x14ac:dyDescent="0.25">
      <c r="A2396" s="131"/>
    </row>
    <row r="2397" spans="1:1" x14ac:dyDescent="0.25">
      <c r="A2397" s="131"/>
    </row>
    <row r="2398" spans="1:1" x14ac:dyDescent="0.25">
      <c r="A2398" s="131"/>
    </row>
    <row r="2399" spans="1:1" x14ac:dyDescent="0.25">
      <c r="A2399" s="131"/>
    </row>
    <row r="2400" spans="1:1" x14ac:dyDescent="0.25">
      <c r="A2400" s="131"/>
    </row>
    <row r="2401" spans="1:1" x14ac:dyDescent="0.25">
      <c r="A2401" s="131"/>
    </row>
    <row r="2402" spans="1:1" x14ac:dyDescent="0.25">
      <c r="A2402" s="131"/>
    </row>
    <row r="2403" spans="1:1" x14ac:dyDescent="0.25">
      <c r="A2403" s="131"/>
    </row>
    <row r="2404" spans="1:1" x14ac:dyDescent="0.25">
      <c r="A2404" s="131"/>
    </row>
    <row r="2405" spans="1:1" x14ac:dyDescent="0.25">
      <c r="A2405" s="131"/>
    </row>
    <row r="2406" spans="1:1" x14ac:dyDescent="0.25">
      <c r="A2406" s="131"/>
    </row>
    <row r="2407" spans="1:1" x14ac:dyDescent="0.25">
      <c r="A2407" s="131"/>
    </row>
    <row r="2408" spans="1:1" x14ac:dyDescent="0.25">
      <c r="A2408" s="131"/>
    </row>
    <row r="2409" spans="1:1" x14ac:dyDescent="0.25">
      <c r="A2409" s="131"/>
    </row>
    <row r="2410" spans="1:1" x14ac:dyDescent="0.25">
      <c r="A2410" s="131"/>
    </row>
    <row r="2411" spans="1:1" x14ac:dyDescent="0.25">
      <c r="A2411" s="131"/>
    </row>
    <row r="2412" spans="1:1" x14ac:dyDescent="0.25">
      <c r="A2412" s="131"/>
    </row>
    <row r="2413" spans="1:1" x14ac:dyDescent="0.25">
      <c r="A2413" s="131"/>
    </row>
    <row r="2414" spans="1:1" x14ac:dyDescent="0.25">
      <c r="A2414" s="131"/>
    </row>
    <row r="2415" spans="1:1" x14ac:dyDescent="0.25">
      <c r="A2415" s="131"/>
    </row>
    <row r="2416" spans="1:1" x14ac:dyDescent="0.25">
      <c r="A2416" s="131"/>
    </row>
    <row r="2417" spans="1:1" x14ac:dyDescent="0.25">
      <c r="A2417" s="131"/>
    </row>
    <row r="2418" spans="1:1" x14ac:dyDescent="0.25">
      <c r="A2418" s="131"/>
    </row>
    <row r="2419" spans="1:1" x14ac:dyDescent="0.25">
      <c r="A2419" s="131"/>
    </row>
    <row r="2420" spans="1:1" x14ac:dyDescent="0.25">
      <c r="A2420" s="131"/>
    </row>
    <row r="2421" spans="1:1" x14ac:dyDescent="0.25">
      <c r="A2421" s="131"/>
    </row>
    <row r="2422" spans="1:1" x14ac:dyDescent="0.25">
      <c r="A2422" s="131"/>
    </row>
    <row r="2423" spans="1:1" x14ac:dyDescent="0.25">
      <c r="A2423" s="131"/>
    </row>
    <row r="2424" spans="1:1" x14ac:dyDescent="0.25">
      <c r="A2424" s="131"/>
    </row>
    <row r="2425" spans="1:1" x14ac:dyDescent="0.25">
      <c r="A2425" s="131"/>
    </row>
    <row r="2426" spans="1:1" x14ac:dyDescent="0.25">
      <c r="A2426" s="131"/>
    </row>
    <row r="2427" spans="1:1" x14ac:dyDescent="0.25">
      <c r="A2427" s="131"/>
    </row>
    <row r="2428" spans="1:1" x14ac:dyDescent="0.25">
      <c r="A2428" s="131"/>
    </row>
    <row r="2429" spans="1:1" x14ac:dyDescent="0.25">
      <c r="A2429" s="131"/>
    </row>
    <row r="2430" spans="1:1" x14ac:dyDescent="0.25">
      <c r="A2430" s="131"/>
    </row>
    <row r="2431" spans="1:1" x14ac:dyDescent="0.25">
      <c r="A2431" s="131"/>
    </row>
    <row r="2432" spans="1:1" x14ac:dyDescent="0.25">
      <c r="A2432" s="131"/>
    </row>
    <row r="2433" spans="1:1" x14ac:dyDescent="0.25">
      <c r="A2433" s="131"/>
    </row>
    <row r="2434" spans="1:1" x14ac:dyDescent="0.25">
      <c r="A2434" s="131"/>
    </row>
    <row r="2435" spans="1:1" x14ac:dyDescent="0.25">
      <c r="A2435" s="131"/>
    </row>
    <row r="2436" spans="1:1" x14ac:dyDescent="0.25">
      <c r="A2436" s="131"/>
    </row>
    <row r="2437" spans="1:1" x14ac:dyDescent="0.25">
      <c r="A2437" s="131"/>
    </row>
    <row r="2438" spans="1:1" x14ac:dyDescent="0.25">
      <c r="A2438" s="131"/>
    </row>
    <row r="2439" spans="1:1" x14ac:dyDescent="0.25">
      <c r="A2439" s="131"/>
    </row>
    <row r="2440" spans="1:1" x14ac:dyDescent="0.25">
      <c r="A2440" s="131"/>
    </row>
    <row r="2441" spans="1:1" x14ac:dyDescent="0.25">
      <c r="A2441" s="131"/>
    </row>
    <row r="2442" spans="1:1" x14ac:dyDescent="0.25">
      <c r="A2442" s="131"/>
    </row>
    <row r="2443" spans="1:1" x14ac:dyDescent="0.25">
      <c r="A2443" s="131"/>
    </row>
    <row r="2444" spans="1:1" x14ac:dyDescent="0.25">
      <c r="A2444" s="131"/>
    </row>
    <row r="2445" spans="1:1" x14ac:dyDescent="0.25">
      <c r="A2445" s="131"/>
    </row>
    <row r="2446" spans="1:1" x14ac:dyDescent="0.25">
      <c r="A2446" s="131"/>
    </row>
    <row r="2447" spans="1:1" x14ac:dyDescent="0.25">
      <c r="A2447" s="131"/>
    </row>
    <row r="2448" spans="1:1" x14ac:dyDescent="0.25">
      <c r="A2448" s="131"/>
    </row>
    <row r="2449" spans="1:1" x14ac:dyDescent="0.25">
      <c r="A2449" s="131"/>
    </row>
    <row r="2450" spans="1:1" x14ac:dyDescent="0.25">
      <c r="A2450" s="131"/>
    </row>
    <row r="2451" spans="1:1" x14ac:dyDescent="0.25">
      <c r="A2451" s="131"/>
    </row>
    <row r="2452" spans="1:1" x14ac:dyDescent="0.25">
      <c r="A2452" s="131"/>
    </row>
    <row r="2453" spans="1:1" x14ac:dyDescent="0.25">
      <c r="A2453" s="131"/>
    </row>
    <row r="2454" spans="1:1" x14ac:dyDescent="0.25">
      <c r="A2454" s="131"/>
    </row>
    <row r="2455" spans="1:1" x14ac:dyDescent="0.25">
      <c r="A2455" s="131"/>
    </row>
    <row r="2456" spans="1:1" x14ac:dyDescent="0.25">
      <c r="A2456" s="131"/>
    </row>
    <row r="2457" spans="1:1" x14ac:dyDescent="0.25">
      <c r="A2457" s="131"/>
    </row>
    <row r="2458" spans="1:1" x14ac:dyDescent="0.25">
      <c r="A2458" s="131"/>
    </row>
    <row r="2459" spans="1:1" x14ac:dyDescent="0.25">
      <c r="A2459" s="131"/>
    </row>
    <row r="2460" spans="1:1" x14ac:dyDescent="0.25">
      <c r="A2460" s="131"/>
    </row>
    <row r="2461" spans="1:1" x14ac:dyDescent="0.25">
      <c r="A2461" s="131"/>
    </row>
    <row r="2462" spans="1:1" x14ac:dyDescent="0.25">
      <c r="A2462" s="131"/>
    </row>
    <row r="2463" spans="1:1" x14ac:dyDescent="0.25">
      <c r="A2463" s="131"/>
    </row>
    <row r="2464" spans="1:1" x14ac:dyDescent="0.25">
      <c r="A2464" s="131"/>
    </row>
    <row r="2465" spans="1:1" x14ac:dyDescent="0.25">
      <c r="A2465" s="131"/>
    </row>
    <row r="2466" spans="1:1" x14ac:dyDescent="0.25">
      <c r="A2466" s="131"/>
    </row>
    <row r="2467" spans="1:1" x14ac:dyDescent="0.25">
      <c r="A2467" s="131"/>
    </row>
    <row r="2468" spans="1:1" x14ac:dyDescent="0.25">
      <c r="A2468" s="131"/>
    </row>
    <row r="2469" spans="1:1" x14ac:dyDescent="0.25">
      <c r="A2469" s="131"/>
    </row>
    <row r="2470" spans="1:1" x14ac:dyDescent="0.25">
      <c r="A2470" s="131"/>
    </row>
    <row r="2471" spans="1:1" x14ac:dyDescent="0.25">
      <c r="A2471" s="131"/>
    </row>
    <row r="2472" spans="1:1" x14ac:dyDescent="0.25">
      <c r="A2472" s="131"/>
    </row>
    <row r="2473" spans="1:1" x14ac:dyDescent="0.25">
      <c r="A2473" s="131"/>
    </row>
    <row r="2474" spans="1:1" x14ac:dyDescent="0.25">
      <c r="A2474" s="131"/>
    </row>
    <row r="2475" spans="1:1" x14ac:dyDescent="0.25">
      <c r="A2475" s="131"/>
    </row>
    <row r="2476" spans="1:1" x14ac:dyDescent="0.25">
      <c r="A2476" s="131"/>
    </row>
    <row r="2477" spans="1:1" x14ac:dyDescent="0.25">
      <c r="A2477" s="131"/>
    </row>
    <row r="2478" spans="1:1" x14ac:dyDescent="0.25">
      <c r="A2478" s="131"/>
    </row>
    <row r="2479" spans="1:1" x14ac:dyDescent="0.25">
      <c r="A2479" s="131"/>
    </row>
    <row r="2480" spans="1:1" x14ac:dyDescent="0.25">
      <c r="A2480" s="131"/>
    </row>
    <row r="2481" spans="1:1" x14ac:dyDescent="0.25">
      <c r="A2481" s="131"/>
    </row>
    <row r="2482" spans="1:1" x14ac:dyDescent="0.25">
      <c r="A2482" s="131"/>
    </row>
    <row r="2483" spans="1:1" x14ac:dyDescent="0.25">
      <c r="A2483" s="131"/>
    </row>
    <row r="2484" spans="1:1" x14ac:dyDescent="0.25">
      <c r="A2484" s="131"/>
    </row>
    <row r="2485" spans="1:1" x14ac:dyDescent="0.25">
      <c r="A2485" s="131"/>
    </row>
    <row r="2486" spans="1:1" x14ac:dyDescent="0.25">
      <c r="A2486" s="131"/>
    </row>
    <row r="2487" spans="1:1" x14ac:dyDescent="0.25">
      <c r="A2487" s="131"/>
    </row>
    <row r="2488" spans="1:1" x14ac:dyDescent="0.25">
      <c r="A2488" s="131"/>
    </row>
    <row r="2489" spans="1:1" x14ac:dyDescent="0.25">
      <c r="A2489" s="131"/>
    </row>
    <row r="2490" spans="1:1" x14ac:dyDescent="0.25">
      <c r="A2490" s="131"/>
    </row>
    <row r="2491" spans="1:1" x14ac:dyDescent="0.25">
      <c r="A2491" s="131"/>
    </row>
    <row r="2492" spans="1:1" x14ac:dyDescent="0.25">
      <c r="A2492" s="131"/>
    </row>
    <row r="2493" spans="1:1" x14ac:dyDescent="0.25">
      <c r="A2493" s="131"/>
    </row>
    <row r="2494" spans="1:1" x14ac:dyDescent="0.25">
      <c r="A2494" s="131"/>
    </row>
    <row r="2495" spans="1:1" x14ac:dyDescent="0.25">
      <c r="A2495" s="131"/>
    </row>
    <row r="2496" spans="1:1" x14ac:dyDescent="0.25">
      <c r="A2496" s="131"/>
    </row>
    <row r="2497" spans="1:1" x14ac:dyDescent="0.25">
      <c r="A2497" s="131"/>
    </row>
    <row r="2498" spans="1:1" x14ac:dyDescent="0.25">
      <c r="A2498" s="131"/>
    </row>
    <row r="2499" spans="1:1" x14ac:dyDescent="0.25">
      <c r="A2499" s="131"/>
    </row>
    <row r="2500" spans="1:1" x14ac:dyDescent="0.25">
      <c r="A2500" s="131"/>
    </row>
    <row r="2501" spans="1:1" x14ac:dyDescent="0.25">
      <c r="A2501" s="131"/>
    </row>
    <row r="2502" spans="1:1" x14ac:dyDescent="0.25">
      <c r="A2502" s="131"/>
    </row>
    <row r="2503" spans="1:1" x14ac:dyDescent="0.25">
      <c r="A2503" s="131"/>
    </row>
    <row r="2504" spans="1:1" x14ac:dyDescent="0.25">
      <c r="A2504" s="131"/>
    </row>
    <row r="2505" spans="1:1" x14ac:dyDescent="0.25">
      <c r="A2505" s="131"/>
    </row>
    <row r="2506" spans="1:1" x14ac:dyDescent="0.25">
      <c r="A2506" s="131"/>
    </row>
    <row r="2507" spans="1:1" x14ac:dyDescent="0.25">
      <c r="A2507" s="131"/>
    </row>
    <row r="2508" spans="1:1" x14ac:dyDescent="0.25">
      <c r="A2508" s="131"/>
    </row>
    <row r="2509" spans="1:1" x14ac:dyDescent="0.25">
      <c r="A2509" s="131"/>
    </row>
    <row r="2510" spans="1:1" x14ac:dyDescent="0.25">
      <c r="A2510" s="131"/>
    </row>
    <row r="2511" spans="1:1" x14ac:dyDescent="0.25">
      <c r="A2511" s="131"/>
    </row>
    <row r="2512" spans="1:1" x14ac:dyDescent="0.25">
      <c r="A2512" s="131"/>
    </row>
    <row r="2513" spans="1:1" x14ac:dyDescent="0.25">
      <c r="A2513" s="131"/>
    </row>
    <row r="2514" spans="1:1" x14ac:dyDescent="0.25">
      <c r="A2514" s="131"/>
    </row>
    <row r="2515" spans="1:1" x14ac:dyDescent="0.25">
      <c r="A2515" s="131"/>
    </row>
    <row r="2516" spans="1:1" x14ac:dyDescent="0.25">
      <c r="A2516" s="131"/>
    </row>
    <row r="2517" spans="1:1" x14ac:dyDescent="0.25">
      <c r="A2517" s="131"/>
    </row>
    <row r="2518" spans="1:1" x14ac:dyDescent="0.25">
      <c r="A2518" s="131"/>
    </row>
    <row r="2519" spans="1:1" x14ac:dyDescent="0.25">
      <c r="A2519" s="131"/>
    </row>
    <row r="2520" spans="1:1" x14ac:dyDescent="0.25">
      <c r="A2520" s="131"/>
    </row>
    <row r="2521" spans="1:1" x14ac:dyDescent="0.25">
      <c r="A2521" s="131"/>
    </row>
    <row r="2522" spans="1:1" x14ac:dyDescent="0.25">
      <c r="A2522" s="131"/>
    </row>
    <row r="2523" spans="1:1" x14ac:dyDescent="0.25">
      <c r="A2523" s="131"/>
    </row>
    <row r="2524" spans="1:1" x14ac:dyDescent="0.25">
      <c r="A2524" s="131"/>
    </row>
    <row r="2525" spans="1:1" x14ac:dyDescent="0.25">
      <c r="A2525" s="131"/>
    </row>
    <row r="2526" spans="1:1" x14ac:dyDescent="0.25">
      <c r="A2526" s="131"/>
    </row>
    <row r="2527" spans="1:1" x14ac:dyDescent="0.25">
      <c r="A2527" s="131"/>
    </row>
    <row r="2528" spans="1:1" x14ac:dyDescent="0.25">
      <c r="A2528" s="131"/>
    </row>
    <row r="2529" spans="1:1" x14ac:dyDescent="0.25">
      <c r="A2529" s="131"/>
    </row>
    <row r="2530" spans="1:1" x14ac:dyDescent="0.25">
      <c r="A2530" s="131"/>
    </row>
    <row r="2531" spans="1:1" x14ac:dyDescent="0.25">
      <c r="A2531" s="131"/>
    </row>
    <row r="2532" spans="1:1" x14ac:dyDescent="0.25">
      <c r="A2532" s="131"/>
    </row>
    <row r="2533" spans="1:1" x14ac:dyDescent="0.25">
      <c r="A2533" s="131"/>
    </row>
    <row r="2534" spans="1:1" x14ac:dyDescent="0.25">
      <c r="A2534" s="131"/>
    </row>
    <row r="2535" spans="1:1" x14ac:dyDescent="0.25">
      <c r="A2535" s="131"/>
    </row>
    <row r="2536" spans="1:1" x14ac:dyDescent="0.25">
      <c r="A2536" s="131"/>
    </row>
    <row r="2537" spans="1:1" x14ac:dyDescent="0.25">
      <c r="A2537" s="131"/>
    </row>
    <row r="2538" spans="1:1" x14ac:dyDescent="0.25">
      <c r="A2538" s="131"/>
    </row>
    <row r="2539" spans="1:1" x14ac:dyDescent="0.25">
      <c r="A2539" s="131"/>
    </row>
    <row r="2540" spans="1:1" x14ac:dyDescent="0.25">
      <c r="A2540" s="131"/>
    </row>
    <row r="2541" spans="1:1" x14ac:dyDescent="0.25">
      <c r="A2541" s="131"/>
    </row>
    <row r="2542" spans="1:1" x14ac:dyDescent="0.25">
      <c r="A2542" s="131"/>
    </row>
    <row r="2543" spans="1:1" x14ac:dyDescent="0.25">
      <c r="A2543" s="131"/>
    </row>
    <row r="2544" spans="1:1" x14ac:dyDescent="0.25">
      <c r="A2544" s="131"/>
    </row>
    <row r="2545" spans="1:1" x14ac:dyDescent="0.25">
      <c r="A2545" s="131"/>
    </row>
    <row r="2546" spans="1:1" x14ac:dyDescent="0.25">
      <c r="A2546" s="131"/>
    </row>
    <row r="2547" spans="1:1" x14ac:dyDescent="0.25">
      <c r="A2547" s="131"/>
    </row>
    <row r="2548" spans="1:1" x14ac:dyDescent="0.25">
      <c r="A2548" s="131"/>
    </row>
    <row r="2549" spans="1:1" x14ac:dyDescent="0.25">
      <c r="A2549" s="131"/>
    </row>
    <row r="2550" spans="1:1" x14ac:dyDescent="0.25">
      <c r="A2550" s="131"/>
    </row>
    <row r="2551" spans="1:1" x14ac:dyDescent="0.25">
      <c r="A2551" s="131"/>
    </row>
    <row r="2552" spans="1:1" x14ac:dyDescent="0.25">
      <c r="A2552" s="131"/>
    </row>
    <row r="2553" spans="1:1" x14ac:dyDescent="0.25">
      <c r="A2553" s="131"/>
    </row>
    <row r="2554" spans="1:1" x14ac:dyDescent="0.25">
      <c r="A2554" s="131"/>
    </row>
    <row r="2555" spans="1:1" x14ac:dyDescent="0.25">
      <c r="A2555" s="131"/>
    </row>
    <row r="2556" spans="1:1" x14ac:dyDescent="0.25">
      <c r="A2556" s="131"/>
    </row>
    <row r="2557" spans="1:1" x14ac:dyDescent="0.25">
      <c r="A2557" s="131"/>
    </row>
    <row r="2558" spans="1:1" x14ac:dyDescent="0.25">
      <c r="A2558" s="131"/>
    </row>
    <row r="2559" spans="1:1" x14ac:dyDescent="0.25">
      <c r="A2559" s="131"/>
    </row>
    <row r="2560" spans="1:1" x14ac:dyDescent="0.25">
      <c r="A2560" s="131"/>
    </row>
    <row r="2561" spans="1:1" x14ac:dyDescent="0.25">
      <c r="A2561" s="131"/>
    </row>
    <row r="2562" spans="1:1" x14ac:dyDescent="0.25">
      <c r="A2562" s="131"/>
    </row>
    <row r="2563" spans="1:1" x14ac:dyDescent="0.25">
      <c r="A2563" s="131"/>
    </row>
    <row r="2564" spans="1:1" x14ac:dyDescent="0.25">
      <c r="A2564" s="131"/>
    </row>
    <row r="2565" spans="1:1" x14ac:dyDescent="0.25">
      <c r="A2565" s="131"/>
    </row>
    <row r="2566" spans="1:1" x14ac:dyDescent="0.25">
      <c r="A2566" s="131"/>
    </row>
    <row r="2567" spans="1:1" x14ac:dyDescent="0.25">
      <c r="A2567" s="131"/>
    </row>
    <row r="2568" spans="1:1" x14ac:dyDescent="0.25">
      <c r="A2568" s="131"/>
    </row>
    <row r="2569" spans="1:1" x14ac:dyDescent="0.25">
      <c r="A2569" s="131"/>
    </row>
    <row r="2570" spans="1:1" x14ac:dyDescent="0.25">
      <c r="A2570" s="131"/>
    </row>
    <row r="2571" spans="1:1" x14ac:dyDescent="0.25">
      <c r="A2571" s="131"/>
    </row>
    <row r="2572" spans="1:1" x14ac:dyDescent="0.25">
      <c r="A2572" s="131"/>
    </row>
    <row r="2573" spans="1:1" x14ac:dyDescent="0.25">
      <c r="A2573" s="131"/>
    </row>
    <row r="2574" spans="1:1" x14ac:dyDescent="0.25">
      <c r="A2574" s="131"/>
    </row>
    <row r="2575" spans="1:1" x14ac:dyDescent="0.25">
      <c r="A2575" s="131"/>
    </row>
    <row r="2576" spans="1:1" x14ac:dyDescent="0.25">
      <c r="A2576" s="131"/>
    </row>
    <row r="2577" spans="1:1" x14ac:dyDescent="0.25">
      <c r="A2577" s="131"/>
    </row>
    <row r="2578" spans="1:1" x14ac:dyDescent="0.25">
      <c r="A2578" s="131"/>
    </row>
    <row r="2579" spans="1:1" x14ac:dyDescent="0.25">
      <c r="A2579" s="131"/>
    </row>
    <row r="2580" spans="1:1" x14ac:dyDescent="0.25">
      <c r="A2580" s="131"/>
    </row>
    <row r="2581" spans="1:1" x14ac:dyDescent="0.25">
      <c r="A2581" s="131"/>
    </row>
    <row r="2582" spans="1:1" x14ac:dyDescent="0.25">
      <c r="A2582" s="131"/>
    </row>
    <row r="2583" spans="1:1" x14ac:dyDescent="0.25">
      <c r="A2583" s="131"/>
    </row>
    <row r="2584" spans="1:1" x14ac:dyDescent="0.25">
      <c r="A2584" s="131"/>
    </row>
    <row r="2585" spans="1:1" x14ac:dyDescent="0.25">
      <c r="A2585" s="131"/>
    </row>
    <row r="2586" spans="1:1" x14ac:dyDescent="0.25">
      <c r="A2586" s="131"/>
    </row>
    <row r="2587" spans="1:1" x14ac:dyDescent="0.25">
      <c r="A2587" s="131"/>
    </row>
    <row r="2588" spans="1:1" x14ac:dyDescent="0.25">
      <c r="A2588" s="131"/>
    </row>
    <row r="2589" spans="1:1" x14ac:dyDescent="0.25">
      <c r="A2589" s="131"/>
    </row>
    <row r="2590" spans="1:1" x14ac:dyDescent="0.25">
      <c r="A2590" s="131"/>
    </row>
    <row r="2591" spans="1:1" x14ac:dyDescent="0.25">
      <c r="A2591" s="131"/>
    </row>
    <row r="2592" spans="1:1" x14ac:dyDescent="0.25">
      <c r="A2592" s="131"/>
    </row>
    <row r="2593" spans="1:1" x14ac:dyDescent="0.25">
      <c r="A2593" s="131"/>
    </row>
    <row r="2594" spans="1:1" x14ac:dyDescent="0.25">
      <c r="A2594" s="131"/>
    </row>
    <row r="2595" spans="1:1" x14ac:dyDescent="0.25">
      <c r="A2595" s="131"/>
    </row>
    <row r="2596" spans="1:1" x14ac:dyDescent="0.25">
      <c r="A2596" s="131"/>
    </row>
    <row r="2597" spans="1:1" x14ac:dyDescent="0.25">
      <c r="A2597" s="131"/>
    </row>
    <row r="2598" spans="1:1" x14ac:dyDescent="0.25">
      <c r="A2598" s="131"/>
    </row>
    <row r="2599" spans="1:1" x14ac:dyDescent="0.25">
      <c r="A2599" s="131"/>
    </row>
    <row r="2600" spans="1:1" x14ac:dyDescent="0.25">
      <c r="A2600" s="131"/>
    </row>
    <row r="2601" spans="1:1" x14ac:dyDescent="0.25">
      <c r="A2601" s="131"/>
    </row>
    <row r="2602" spans="1:1" x14ac:dyDescent="0.25">
      <c r="A2602" s="131"/>
    </row>
    <row r="2603" spans="1:1" x14ac:dyDescent="0.25">
      <c r="A2603" s="131"/>
    </row>
    <row r="2604" spans="1:1" x14ac:dyDescent="0.25">
      <c r="A2604" s="131"/>
    </row>
    <row r="2605" spans="1:1" x14ac:dyDescent="0.25">
      <c r="A2605" s="131"/>
    </row>
    <row r="2606" spans="1:1" x14ac:dyDescent="0.25">
      <c r="A2606" s="131"/>
    </row>
    <row r="2607" spans="1:1" x14ac:dyDescent="0.25">
      <c r="A2607" s="131"/>
    </row>
    <row r="2608" spans="1:1" x14ac:dyDescent="0.25">
      <c r="A2608" s="131"/>
    </row>
    <row r="2609" spans="1:1" x14ac:dyDescent="0.25">
      <c r="A2609" s="131"/>
    </row>
    <row r="2610" spans="1:1" x14ac:dyDescent="0.25">
      <c r="A2610" s="131"/>
    </row>
    <row r="2611" spans="1:1" x14ac:dyDescent="0.25">
      <c r="A2611" s="131"/>
    </row>
    <row r="2612" spans="1:1" x14ac:dyDescent="0.25">
      <c r="A2612" s="131"/>
    </row>
    <row r="2613" spans="1:1" x14ac:dyDescent="0.25">
      <c r="A2613" s="131"/>
    </row>
    <row r="2614" spans="1:1" x14ac:dyDescent="0.25">
      <c r="A2614" s="131"/>
    </row>
    <row r="2615" spans="1:1" x14ac:dyDescent="0.25">
      <c r="A2615" s="131"/>
    </row>
    <row r="2616" spans="1:1" x14ac:dyDescent="0.25">
      <c r="A2616" s="131"/>
    </row>
    <row r="2617" spans="1:1" x14ac:dyDescent="0.25">
      <c r="A2617" s="131"/>
    </row>
    <row r="2618" spans="1:1" x14ac:dyDescent="0.25">
      <c r="A2618" s="131"/>
    </row>
    <row r="2619" spans="1:1" x14ac:dyDescent="0.25">
      <c r="A2619" s="131"/>
    </row>
    <row r="2620" spans="1:1" x14ac:dyDescent="0.25">
      <c r="A2620" s="131"/>
    </row>
    <row r="2621" spans="1:1" x14ac:dyDescent="0.25">
      <c r="A2621" s="131"/>
    </row>
    <row r="2622" spans="1:1" x14ac:dyDescent="0.25">
      <c r="A2622" s="131"/>
    </row>
    <row r="2623" spans="1:1" x14ac:dyDescent="0.25">
      <c r="A2623" s="131"/>
    </row>
    <row r="2624" spans="1:1" x14ac:dyDescent="0.25">
      <c r="A2624" s="131"/>
    </row>
    <row r="2625" spans="1:1" x14ac:dyDescent="0.25">
      <c r="A2625" s="131"/>
    </row>
    <row r="2626" spans="1:1" x14ac:dyDescent="0.25">
      <c r="A2626" s="131"/>
    </row>
    <row r="2627" spans="1:1" x14ac:dyDescent="0.25">
      <c r="A2627" s="131"/>
    </row>
    <row r="2628" spans="1:1" x14ac:dyDescent="0.25">
      <c r="A2628" s="131"/>
    </row>
    <row r="2629" spans="1:1" x14ac:dyDescent="0.25">
      <c r="A2629" s="131"/>
    </row>
    <row r="2630" spans="1:1" x14ac:dyDescent="0.25">
      <c r="A2630" s="131"/>
    </row>
    <row r="2631" spans="1:1" x14ac:dyDescent="0.25">
      <c r="A2631" s="131"/>
    </row>
    <row r="2632" spans="1:1" x14ac:dyDescent="0.25">
      <c r="A2632" s="131"/>
    </row>
    <row r="2633" spans="1:1" x14ac:dyDescent="0.25">
      <c r="A2633" s="131"/>
    </row>
    <row r="2634" spans="1:1" x14ac:dyDescent="0.25">
      <c r="A2634" s="131"/>
    </row>
    <row r="2635" spans="1:1" x14ac:dyDescent="0.25">
      <c r="A2635" s="131"/>
    </row>
    <row r="2636" spans="1:1" x14ac:dyDescent="0.25">
      <c r="A2636" s="131"/>
    </row>
    <row r="2637" spans="1:1" x14ac:dyDescent="0.25">
      <c r="A2637" s="131"/>
    </row>
    <row r="2638" spans="1:1" x14ac:dyDescent="0.25">
      <c r="A2638" s="131"/>
    </row>
    <row r="2639" spans="1:1" x14ac:dyDescent="0.25">
      <c r="A2639" s="131"/>
    </row>
    <row r="2640" spans="1:1" x14ac:dyDescent="0.25">
      <c r="A2640" s="131"/>
    </row>
    <row r="2641" spans="1:1" x14ac:dyDescent="0.25">
      <c r="A2641" s="131"/>
    </row>
    <row r="2642" spans="1:1" x14ac:dyDescent="0.25">
      <c r="A2642" s="131"/>
    </row>
    <row r="2643" spans="1:1" x14ac:dyDescent="0.25">
      <c r="A2643" s="131"/>
    </row>
    <row r="2644" spans="1:1" x14ac:dyDescent="0.25">
      <c r="A2644" s="131"/>
    </row>
    <row r="2645" spans="1:1" x14ac:dyDescent="0.25">
      <c r="A2645" s="131"/>
    </row>
    <row r="2646" spans="1:1" x14ac:dyDescent="0.25">
      <c r="A2646" s="131"/>
    </row>
    <row r="2647" spans="1:1" x14ac:dyDescent="0.25">
      <c r="A2647" s="131"/>
    </row>
    <row r="2648" spans="1:1" x14ac:dyDescent="0.25">
      <c r="A2648" s="131"/>
    </row>
    <row r="2649" spans="1:1" x14ac:dyDescent="0.25">
      <c r="A2649" s="131"/>
    </row>
    <row r="2650" spans="1:1" x14ac:dyDescent="0.25">
      <c r="A2650" s="131"/>
    </row>
    <row r="2651" spans="1:1" x14ac:dyDescent="0.25">
      <c r="A2651" s="131"/>
    </row>
    <row r="2652" spans="1:1" x14ac:dyDescent="0.25">
      <c r="A2652" s="131"/>
    </row>
    <row r="2653" spans="1:1" x14ac:dyDescent="0.25">
      <c r="A2653" s="131"/>
    </row>
    <row r="2654" spans="1:1" x14ac:dyDescent="0.25">
      <c r="A2654" s="131"/>
    </row>
    <row r="2655" spans="1:1" x14ac:dyDescent="0.25">
      <c r="A2655" s="131"/>
    </row>
    <row r="2656" spans="1:1" x14ac:dyDescent="0.25">
      <c r="A2656" s="131"/>
    </row>
    <row r="2657" spans="1:1" x14ac:dyDescent="0.25">
      <c r="A2657" s="131"/>
    </row>
    <row r="2658" spans="1:1" x14ac:dyDescent="0.25">
      <c r="A2658" s="131"/>
    </row>
    <row r="2659" spans="1:1" x14ac:dyDescent="0.25">
      <c r="A2659" s="131"/>
    </row>
    <row r="2660" spans="1:1" x14ac:dyDescent="0.25">
      <c r="A2660" s="131"/>
    </row>
    <row r="2661" spans="1:1" x14ac:dyDescent="0.25">
      <c r="A2661" s="131"/>
    </row>
    <row r="2662" spans="1:1" x14ac:dyDescent="0.25">
      <c r="A2662" s="131"/>
    </row>
    <row r="2663" spans="1:1" x14ac:dyDescent="0.25">
      <c r="A2663" s="131"/>
    </row>
    <row r="2664" spans="1:1" x14ac:dyDescent="0.25">
      <c r="A2664" s="131"/>
    </row>
    <row r="2665" spans="1:1" x14ac:dyDescent="0.25">
      <c r="A2665" s="131"/>
    </row>
    <row r="2666" spans="1:1" x14ac:dyDescent="0.25">
      <c r="A2666" s="131"/>
    </row>
    <row r="2667" spans="1:1" x14ac:dyDescent="0.25">
      <c r="A2667" s="131"/>
    </row>
    <row r="2668" spans="1:1" x14ac:dyDescent="0.25">
      <c r="A2668" s="131"/>
    </row>
    <row r="2669" spans="1:1" x14ac:dyDescent="0.25">
      <c r="A2669" s="131"/>
    </row>
    <row r="2670" spans="1:1" x14ac:dyDescent="0.25">
      <c r="A2670" s="131"/>
    </row>
    <row r="2671" spans="1:1" x14ac:dyDescent="0.25">
      <c r="A2671" s="131"/>
    </row>
    <row r="2672" spans="1:1" x14ac:dyDescent="0.25">
      <c r="A2672" s="131"/>
    </row>
    <row r="2673" spans="1:1" x14ac:dyDescent="0.25">
      <c r="A2673" s="131"/>
    </row>
    <row r="2674" spans="1:1" x14ac:dyDescent="0.25">
      <c r="A2674" s="131"/>
    </row>
    <row r="2675" spans="1:1" x14ac:dyDescent="0.25">
      <c r="A2675" s="131"/>
    </row>
    <row r="2676" spans="1:1" x14ac:dyDescent="0.25">
      <c r="A2676" s="131"/>
    </row>
    <row r="2677" spans="1:1" x14ac:dyDescent="0.25">
      <c r="A2677" s="131"/>
    </row>
    <row r="2678" spans="1:1" x14ac:dyDescent="0.25">
      <c r="A2678" s="131"/>
    </row>
    <row r="2679" spans="1:1" x14ac:dyDescent="0.25">
      <c r="A2679" s="131"/>
    </row>
    <row r="2680" spans="1:1" x14ac:dyDescent="0.25">
      <c r="A2680" s="131"/>
    </row>
    <row r="2681" spans="1:1" x14ac:dyDescent="0.25">
      <c r="A2681" s="131"/>
    </row>
    <row r="2682" spans="1:1" x14ac:dyDescent="0.25">
      <c r="A2682" s="131"/>
    </row>
    <row r="2683" spans="1:1" x14ac:dyDescent="0.25">
      <c r="A2683" s="131"/>
    </row>
    <row r="2684" spans="1:1" x14ac:dyDescent="0.25">
      <c r="A2684" s="131"/>
    </row>
    <row r="2685" spans="1:1" x14ac:dyDescent="0.25">
      <c r="A2685" s="131"/>
    </row>
    <row r="2686" spans="1:1" x14ac:dyDescent="0.25">
      <c r="A2686" s="131"/>
    </row>
    <row r="2687" spans="1:1" x14ac:dyDescent="0.25">
      <c r="A2687" s="131"/>
    </row>
    <row r="2688" spans="1:1" x14ac:dyDescent="0.25">
      <c r="A2688" s="131"/>
    </row>
    <row r="2689" spans="1:1" x14ac:dyDescent="0.25">
      <c r="A2689" s="131"/>
    </row>
    <row r="2690" spans="1:1" x14ac:dyDescent="0.25">
      <c r="A2690" s="131"/>
    </row>
    <row r="2691" spans="1:1" x14ac:dyDescent="0.25">
      <c r="A2691" s="131"/>
    </row>
    <row r="2692" spans="1:1" x14ac:dyDescent="0.25">
      <c r="A2692" s="131"/>
    </row>
    <row r="2693" spans="1:1" x14ac:dyDescent="0.25">
      <c r="A2693" s="131"/>
    </row>
    <row r="2694" spans="1:1" x14ac:dyDescent="0.25">
      <c r="A2694" s="131"/>
    </row>
    <row r="2695" spans="1:1" x14ac:dyDescent="0.25">
      <c r="A2695" s="131"/>
    </row>
    <row r="2696" spans="1:1" x14ac:dyDescent="0.25">
      <c r="A2696" s="131"/>
    </row>
    <row r="2697" spans="1:1" x14ac:dyDescent="0.25">
      <c r="A2697" s="131"/>
    </row>
    <row r="2698" spans="1:1" x14ac:dyDescent="0.25">
      <c r="A2698" s="131"/>
    </row>
    <row r="2699" spans="1:1" x14ac:dyDescent="0.25">
      <c r="A2699" s="131"/>
    </row>
    <row r="2700" spans="1:1" x14ac:dyDescent="0.25">
      <c r="A2700" s="131"/>
    </row>
    <row r="2701" spans="1:1" x14ac:dyDescent="0.25">
      <c r="A2701" s="131"/>
    </row>
    <row r="2702" spans="1:1" x14ac:dyDescent="0.25">
      <c r="A2702" s="131"/>
    </row>
    <row r="2703" spans="1:1" x14ac:dyDescent="0.25">
      <c r="A2703" s="131"/>
    </row>
    <row r="2704" spans="1:1" x14ac:dyDescent="0.25">
      <c r="A2704" s="131"/>
    </row>
    <row r="2705" spans="1:1" x14ac:dyDescent="0.25">
      <c r="A2705" s="131"/>
    </row>
    <row r="2706" spans="1:1" x14ac:dyDescent="0.25">
      <c r="A2706" s="131"/>
    </row>
    <row r="2707" spans="1:1" x14ac:dyDescent="0.25">
      <c r="A2707" s="131"/>
    </row>
    <row r="2708" spans="1:1" x14ac:dyDescent="0.25">
      <c r="A2708" s="131"/>
    </row>
    <row r="2709" spans="1:1" x14ac:dyDescent="0.25">
      <c r="A2709" s="131"/>
    </row>
    <row r="2710" spans="1:1" x14ac:dyDescent="0.25">
      <c r="A2710" s="131"/>
    </row>
    <row r="2711" spans="1:1" x14ac:dyDescent="0.25">
      <c r="A2711" s="131"/>
    </row>
    <row r="2712" spans="1:1" x14ac:dyDescent="0.25">
      <c r="A2712" s="131"/>
    </row>
    <row r="2713" spans="1:1" x14ac:dyDescent="0.25">
      <c r="A2713" s="131"/>
    </row>
    <row r="2714" spans="1:1" x14ac:dyDescent="0.25">
      <c r="A2714" s="131"/>
    </row>
    <row r="2715" spans="1:1" x14ac:dyDescent="0.25">
      <c r="A2715" s="131"/>
    </row>
    <row r="2716" spans="1:1" x14ac:dyDescent="0.25">
      <c r="A2716" s="131"/>
    </row>
    <row r="2717" spans="1:1" x14ac:dyDescent="0.25">
      <c r="A2717" s="131"/>
    </row>
    <row r="2718" spans="1:1" x14ac:dyDescent="0.25">
      <c r="A2718" s="131"/>
    </row>
    <row r="2719" spans="1:1" x14ac:dyDescent="0.25">
      <c r="A2719" s="131"/>
    </row>
    <row r="2720" spans="1:1" x14ac:dyDescent="0.25">
      <c r="A2720" s="131"/>
    </row>
    <row r="2721" spans="1:1" x14ac:dyDescent="0.25">
      <c r="A2721" s="131"/>
    </row>
    <row r="2722" spans="1:1" x14ac:dyDescent="0.25">
      <c r="A2722" s="131"/>
    </row>
    <row r="2723" spans="1:1" x14ac:dyDescent="0.25">
      <c r="A2723" s="131"/>
    </row>
    <row r="2724" spans="1:1" x14ac:dyDescent="0.25">
      <c r="A2724" s="131"/>
    </row>
    <row r="2725" spans="1:1" x14ac:dyDescent="0.25">
      <c r="A2725" s="131"/>
    </row>
    <row r="2726" spans="1:1" x14ac:dyDescent="0.25">
      <c r="A2726" s="131"/>
    </row>
    <row r="2727" spans="1:1" x14ac:dyDescent="0.25">
      <c r="A2727" s="131"/>
    </row>
    <row r="2728" spans="1:1" x14ac:dyDescent="0.25">
      <c r="A2728" s="131"/>
    </row>
    <row r="2729" spans="1:1" x14ac:dyDescent="0.25">
      <c r="A2729" s="131"/>
    </row>
    <row r="2730" spans="1:1" x14ac:dyDescent="0.25">
      <c r="A2730" s="131"/>
    </row>
    <row r="2731" spans="1:1" x14ac:dyDescent="0.25">
      <c r="A2731" s="131"/>
    </row>
    <row r="2732" spans="1:1" x14ac:dyDescent="0.25">
      <c r="A2732" s="131"/>
    </row>
    <row r="2733" spans="1:1" x14ac:dyDescent="0.25">
      <c r="A2733" s="131"/>
    </row>
    <row r="2734" spans="1:1" x14ac:dyDescent="0.25">
      <c r="A2734" s="131"/>
    </row>
    <row r="2735" spans="1:1" x14ac:dyDescent="0.25">
      <c r="A2735" s="131"/>
    </row>
    <row r="2736" spans="1:1" x14ac:dyDescent="0.25">
      <c r="A2736" s="131"/>
    </row>
    <row r="2737" spans="1:1" x14ac:dyDescent="0.25">
      <c r="A2737" s="131"/>
    </row>
    <row r="2738" spans="1:1" x14ac:dyDescent="0.25">
      <c r="A2738" s="131"/>
    </row>
    <row r="2739" spans="1:1" x14ac:dyDescent="0.25">
      <c r="A2739" s="131"/>
    </row>
    <row r="2740" spans="1:1" x14ac:dyDescent="0.25">
      <c r="A2740" s="131"/>
    </row>
    <row r="2741" spans="1:1" x14ac:dyDescent="0.25">
      <c r="A2741" s="131"/>
    </row>
    <row r="2742" spans="1:1" x14ac:dyDescent="0.25">
      <c r="A2742" s="131"/>
    </row>
    <row r="2743" spans="1:1" x14ac:dyDescent="0.25">
      <c r="A2743" s="131"/>
    </row>
    <row r="2744" spans="1:1" x14ac:dyDescent="0.25">
      <c r="A2744" s="131"/>
    </row>
    <row r="2745" spans="1:1" x14ac:dyDescent="0.25">
      <c r="A2745" s="131"/>
    </row>
    <row r="2746" spans="1:1" x14ac:dyDescent="0.25">
      <c r="A2746" s="131"/>
    </row>
    <row r="2747" spans="1:1" x14ac:dyDescent="0.25">
      <c r="A2747" s="131"/>
    </row>
    <row r="2748" spans="1:1" x14ac:dyDescent="0.25">
      <c r="A2748" s="131"/>
    </row>
    <row r="2749" spans="1:1" x14ac:dyDescent="0.25">
      <c r="A2749" s="131"/>
    </row>
    <row r="2750" spans="1:1" x14ac:dyDescent="0.25">
      <c r="A2750" s="131"/>
    </row>
    <row r="2751" spans="1:1" x14ac:dyDescent="0.25">
      <c r="A2751" s="131"/>
    </row>
    <row r="2752" spans="1:1" x14ac:dyDescent="0.25">
      <c r="A2752" s="131"/>
    </row>
    <row r="2753" spans="1:1" x14ac:dyDescent="0.25">
      <c r="A2753" s="131"/>
    </row>
    <row r="2754" spans="1:1" x14ac:dyDescent="0.25">
      <c r="A2754" s="131"/>
    </row>
    <row r="2755" spans="1:1" x14ac:dyDescent="0.25">
      <c r="A2755" s="131"/>
    </row>
    <row r="2756" spans="1:1" x14ac:dyDescent="0.25">
      <c r="A2756" s="131"/>
    </row>
    <row r="2757" spans="1:1" x14ac:dyDescent="0.25">
      <c r="A2757" s="131"/>
    </row>
    <row r="2758" spans="1:1" x14ac:dyDescent="0.25">
      <c r="A2758" s="131"/>
    </row>
    <row r="2759" spans="1:1" x14ac:dyDescent="0.25">
      <c r="A2759" s="131"/>
    </row>
    <row r="2760" spans="1:1" x14ac:dyDescent="0.25">
      <c r="A2760" s="131"/>
    </row>
    <row r="2761" spans="1:1" x14ac:dyDescent="0.25">
      <c r="A2761" s="131"/>
    </row>
    <row r="2762" spans="1:1" x14ac:dyDescent="0.25">
      <c r="A2762" s="131"/>
    </row>
    <row r="2763" spans="1:1" x14ac:dyDescent="0.25">
      <c r="A2763" s="131"/>
    </row>
    <row r="2764" spans="1:1" x14ac:dyDescent="0.25">
      <c r="A2764" s="131"/>
    </row>
    <row r="2765" spans="1:1" x14ac:dyDescent="0.25">
      <c r="A2765" s="131"/>
    </row>
    <row r="2766" spans="1:1" x14ac:dyDescent="0.25">
      <c r="A2766" s="131"/>
    </row>
    <row r="2767" spans="1:1" x14ac:dyDescent="0.25">
      <c r="A2767" s="131"/>
    </row>
    <row r="2768" spans="1:1" x14ac:dyDescent="0.25">
      <c r="A2768" s="131"/>
    </row>
    <row r="2769" spans="1:1" x14ac:dyDescent="0.25">
      <c r="A2769" s="131"/>
    </row>
    <row r="2770" spans="1:1" x14ac:dyDescent="0.25">
      <c r="A2770" s="131"/>
    </row>
    <row r="2771" spans="1:1" x14ac:dyDescent="0.25">
      <c r="A2771" s="131"/>
    </row>
    <row r="2772" spans="1:1" x14ac:dyDescent="0.25">
      <c r="A2772" s="131"/>
    </row>
    <row r="2773" spans="1:1" x14ac:dyDescent="0.25">
      <c r="A2773" s="131"/>
    </row>
    <row r="2774" spans="1:1" x14ac:dyDescent="0.25">
      <c r="A2774" s="131"/>
    </row>
    <row r="2775" spans="1:1" x14ac:dyDescent="0.25">
      <c r="A2775" s="131"/>
    </row>
    <row r="2776" spans="1:1" x14ac:dyDescent="0.25">
      <c r="A2776" s="131"/>
    </row>
    <row r="2777" spans="1:1" x14ac:dyDescent="0.25">
      <c r="A2777" s="131"/>
    </row>
    <row r="2778" spans="1:1" x14ac:dyDescent="0.25">
      <c r="A2778" s="131"/>
    </row>
    <row r="2779" spans="1:1" x14ac:dyDescent="0.25">
      <c r="A2779" s="131"/>
    </row>
    <row r="2780" spans="1:1" x14ac:dyDescent="0.25">
      <c r="A2780" s="131"/>
    </row>
    <row r="2781" spans="1:1" x14ac:dyDescent="0.25">
      <c r="A2781" s="131"/>
    </row>
    <row r="2782" spans="1:1" x14ac:dyDescent="0.25">
      <c r="A2782" s="131"/>
    </row>
    <row r="2783" spans="1:1" x14ac:dyDescent="0.25">
      <c r="A2783" s="131"/>
    </row>
    <row r="2784" spans="1:1" x14ac:dyDescent="0.25">
      <c r="A2784" s="131"/>
    </row>
    <row r="2785" spans="1:1" x14ac:dyDescent="0.25">
      <c r="A2785" s="131"/>
    </row>
    <row r="2786" spans="1:1" x14ac:dyDescent="0.25">
      <c r="A2786" s="131"/>
    </row>
    <row r="2787" spans="1:1" x14ac:dyDescent="0.25">
      <c r="A2787" s="131"/>
    </row>
    <row r="2788" spans="1:1" x14ac:dyDescent="0.25">
      <c r="A2788" s="131"/>
    </row>
    <row r="2789" spans="1:1" x14ac:dyDescent="0.25">
      <c r="A2789" s="131"/>
    </row>
    <row r="2790" spans="1:1" x14ac:dyDescent="0.25">
      <c r="A2790" s="131"/>
    </row>
    <row r="2791" spans="1:1" x14ac:dyDescent="0.25">
      <c r="A2791" s="131"/>
    </row>
    <row r="2792" spans="1:1" x14ac:dyDescent="0.25">
      <c r="A2792" s="131"/>
    </row>
    <row r="2793" spans="1:1" x14ac:dyDescent="0.25">
      <c r="A2793" s="131"/>
    </row>
    <row r="2794" spans="1:1" x14ac:dyDescent="0.25">
      <c r="A2794" s="131"/>
    </row>
    <row r="2795" spans="1:1" x14ac:dyDescent="0.25">
      <c r="A2795" s="131"/>
    </row>
    <row r="2796" spans="1:1" x14ac:dyDescent="0.25">
      <c r="A2796" s="131"/>
    </row>
    <row r="2797" spans="1:1" x14ac:dyDescent="0.25">
      <c r="A2797" s="131"/>
    </row>
    <row r="2798" spans="1:1" x14ac:dyDescent="0.25">
      <c r="A2798" s="131"/>
    </row>
    <row r="2799" spans="1:1" x14ac:dyDescent="0.25">
      <c r="A2799" s="131"/>
    </row>
    <row r="2800" spans="1:1" x14ac:dyDescent="0.25">
      <c r="A2800" s="131"/>
    </row>
    <row r="2801" spans="1:1" x14ac:dyDescent="0.25">
      <c r="A2801" s="131"/>
    </row>
    <row r="2802" spans="1:1" x14ac:dyDescent="0.25">
      <c r="A2802" s="131"/>
    </row>
    <row r="2803" spans="1:1" x14ac:dyDescent="0.25">
      <c r="A2803" s="131"/>
    </row>
    <row r="2804" spans="1:1" x14ac:dyDescent="0.25">
      <c r="A2804" s="131"/>
    </row>
    <row r="2805" spans="1:1" x14ac:dyDescent="0.25">
      <c r="A2805" s="131"/>
    </row>
    <row r="2806" spans="1:1" x14ac:dyDescent="0.25">
      <c r="A2806" s="131"/>
    </row>
    <row r="2807" spans="1:1" x14ac:dyDescent="0.25">
      <c r="A2807" s="131"/>
    </row>
    <row r="2808" spans="1:1" x14ac:dyDescent="0.25">
      <c r="A2808" s="131"/>
    </row>
    <row r="2809" spans="1:1" x14ac:dyDescent="0.25">
      <c r="A2809" s="131"/>
    </row>
    <row r="2810" spans="1:1" x14ac:dyDescent="0.25">
      <c r="A2810" s="131"/>
    </row>
    <row r="2811" spans="1:1" x14ac:dyDescent="0.25">
      <c r="A2811" s="131"/>
    </row>
    <row r="2812" spans="1:1" x14ac:dyDescent="0.25">
      <c r="A2812" s="131"/>
    </row>
    <row r="2813" spans="1:1" x14ac:dyDescent="0.25">
      <c r="A2813" s="131"/>
    </row>
    <row r="2814" spans="1:1" x14ac:dyDescent="0.25">
      <c r="A2814" s="131"/>
    </row>
    <row r="2815" spans="1:1" x14ac:dyDescent="0.25">
      <c r="A2815" s="131"/>
    </row>
    <row r="2816" spans="1:1" x14ac:dyDescent="0.25">
      <c r="A2816" s="131"/>
    </row>
    <row r="2817" spans="1:1" x14ac:dyDescent="0.25">
      <c r="A2817" s="131"/>
    </row>
    <row r="2818" spans="1:1" x14ac:dyDescent="0.25">
      <c r="A2818" s="131"/>
    </row>
    <row r="2819" spans="1:1" x14ac:dyDescent="0.25">
      <c r="A2819" s="131"/>
    </row>
    <row r="2820" spans="1:1" x14ac:dyDescent="0.25">
      <c r="A2820" s="131"/>
    </row>
    <row r="2821" spans="1:1" x14ac:dyDescent="0.25">
      <c r="A2821" s="131"/>
    </row>
    <row r="2822" spans="1:1" x14ac:dyDescent="0.25">
      <c r="A2822" s="131"/>
    </row>
    <row r="2823" spans="1:1" x14ac:dyDescent="0.25">
      <c r="A2823" s="131"/>
    </row>
    <row r="2824" spans="1:1" x14ac:dyDescent="0.25">
      <c r="A2824" s="131"/>
    </row>
    <row r="2825" spans="1:1" x14ac:dyDescent="0.25">
      <c r="A2825" s="131"/>
    </row>
    <row r="2826" spans="1:1" x14ac:dyDescent="0.25">
      <c r="A2826" s="131"/>
    </row>
    <row r="2827" spans="1:1" x14ac:dyDescent="0.25">
      <c r="A2827" s="131"/>
    </row>
    <row r="2828" spans="1:1" x14ac:dyDescent="0.25">
      <c r="A2828" s="131"/>
    </row>
    <row r="2829" spans="1:1" x14ac:dyDescent="0.25">
      <c r="A2829" s="131"/>
    </row>
    <row r="2830" spans="1:1" x14ac:dyDescent="0.25">
      <c r="A2830" s="131"/>
    </row>
    <row r="2831" spans="1:1" x14ac:dyDescent="0.25">
      <c r="A2831" s="131"/>
    </row>
    <row r="2832" spans="1:1" x14ac:dyDescent="0.25">
      <c r="A2832" s="131"/>
    </row>
    <row r="2833" spans="1:1" x14ac:dyDescent="0.25">
      <c r="A2833" s="131"/>
    </row>
    <row r="2834" spans="1:1" x14ac:dyDescent="0.25">
      <c r="A2834" s="131"/>
    </row>
    <row r="2835" spans="1:1" x14ac:dyDescent="0.25">
      <c r="A2835" s="131"/>
    </row>
    <row r="2836" spans="1:1" x14ac:dyDescent="0.25">
      <c r="A2836" s="131"/>
    </row>
    <row r="2837" spans="1:1" x14ac:dyDescent="0.25">
      <c r="A2837" s="131"/>
    </row>
    <row r="2838" spans="1:1" x14ac:dyDescent="0.25">
      <c r="A2838" s="131"/>
    </row>
    <row r="2839" spans="1:1" x14ac:dyDescent="0.25">
      <c r="A2839" s="131"/>
    </row>
    <row r="2840" spans="1:1" x14ac:dyDescent="0.25">
      <c r="A2840" s="131"/>
    </row>
    <row r="2841" spans="1:1" x14ac:dyDescent="0.25">
      <c r="A2841" s="131"/>
    </row>
    <row r="2842" spans="1:1" x14ac:dyDescent="0.25">
      <c r="A2842" s="131"/>
    </row>
    <row r="2843" spans="1:1" x14ac:dyDescent="0.25">
      <c r="A2843" s="131"/>
    </row>
    <row r="2844" spans="1:1" x14ac:dyDescent="0.25">
      <c r="A2844" s="131"/>
    </row>
    <row r="2845" spans="1:1" x14ac:dyDescent="0.25">
      <c r="A2845" s="131"/>
    </row>
    <row r="2846" spans="1:1" x14ac:dyDescent="0.25">
      <c r="A2846" s="131"/>
    </row>
    <row r="2847" spans="1:1" x14ac:dyDescent="0.25">
      <c r="A2847" s="131"/>
    </row>
    <row r="2848" spans="1:1" x14ac:dyDescent="0.25">
      <c r="A2848" s="131"/>
    </row>
    <row r="2849" spans="1:1" x14ac:dyDescent="0.25">
      <c r="A2849" s="131"/>
    </row>
    <row r="2850" spans="1:1" x14ac:dyDescent="0.25">
      <c r="A2850" s="131"/>
    </row>
    <row r="2851" spans="1:1" x14ac:dyDescent="0.25">
      <c r="A2851" s="131"/>
    </row>
    <row r="2852" spans="1:1" x14ac:dyDescent="0.25">
      <c r="A2852" s="131"/>
    </row>
    <row r="2853" spans="1:1" x14ac:dyDescent="0.25">
      <c r="A2853" s="131"/>
    </row>
    <row r="2854" spans="1:1" x14ac:dyDescent="0.25">
      <c r="A2854" s="131"/>
    </row>
    <row r="2855" spans="1:1" x14ac:dyDescent="0.25">
      <c r="A2855" s="131"/>
    </row>
    <row r="2856" spans="1:1" x14ac:dyDescent="0.25">
      <c r="A2856" s="131"/>
    </row>
    <row r="2857" spans="1:1" x14ac:dyDescent="0.25">
      <c r="A2857" s="131"/>
    </row>
    <row r="2858" spans="1:1" x14ac:dyDescent="0.25">
      <c r="A2858" s="131"/>
    </row>
    <row r="2859" spans="1:1" x14ac:dyDescent="0.25">
      <c r="A2859" s="131"/>
    </row>
    <row r="2860" spans="1:1" x14ac:dyDescent="0.25">
      <c r="A2860" s="131"/>
    </row>
    <row r="2861" spans="1:1" x14ac:dyDescent="0.25">
      <c r="A2861" s="131"/>
    </row>
    <row r="2862" spans="1:1" x14ac:dyDescent="0.25">
      <c r="A2862" s="131"/>
    </row>
    <row r="2863" spans="1:1" x14ac:dyDescent="0.25">
      <c r="A2863" s="131"/>
    </row>
    <row r="2864" spans="1:1" x14ac:dyDescent="0.25">
      <c r="A2864" s="131"/>
    </row>
    <row r="2865" spans="1:1" x14ac:dyDescent="0.25">
      <c r="A2865" s="131"/>
    </row>
    <row r="2866" spans="1:1" x14ac:dyDescent="0.25">
      <c r="A2866" s="131"/>
    </row>
    <row r="2867" spans="1:1" x14ac:dyDescent="0.25">
      <c r="A2867" s="131"/>
    </row>
    <row r="2868" spans="1:1" x14ac:dyDescent="0.25">
      <c r="A2868" s="131"/>
    </row>
    <row r="2869" spans="1:1" x14ac:dyDescent="0.25">
      <c r="A2869" s="131"/>
    </row>
    <row r="2870" spans="1:1" x14ac:dyDescent="0.25">
      <c r="A2870" s="131"/>
    </row>
    <row r="2871" spans="1:1" x14ac:dyDescent="0.25">
      <c r="A2871" s="131"/>
    </row>
    <row r="2872" spans="1:1" x14ac:dyDescent="0.25">
      <c r="A2872" s="131"/>
    </row>
    <row r="2873" spans="1:1" x14ac:dyDescent="0.25">
      <c r="A2873" s="131"/>
    </row>
    <row r="2874" spans="1:1" x14ac:dyDescent="0.25">
      <c r="A2874" s="131"/>
    </row>
    <row r="2875" spans="1:1" x14ac:dyDescent="0.25">
      <c r="A2875" s="131"/>
    </row>
    <row r="2876" spans="1:1" x14ac:dyDescent="0.25">
      <c r="A2876" s="131"/>
    </row>
    <row r="2877" spans="1:1" x14ac:dyDescent="0.25">
      <c r="A2877" s="131"/>
    </row>
    <row r="2878" spans="1:1" x14ac:dyDescent="0.25">
      <c r="A2878" s="131"/>
    </row>
    <row r="2879" spans="1:1" x14ac:dyDescent="0.25">
      <c r="A2879" s="131"/>
    </row>
    <row r="2880" spans="1:1" x14ac:dyDescent="0.25">
      <c r="A2880" s="131"/>
    </row>
    <row r="2881" spans="1:1" x14ac:dyDescent="0.25">
      <c r="A2881" s="131"/>
    </row>
    <row r="2882" spans="1:1" x14ac:dyDescent="0.25">
      <c r="A2882" s="131"/>
    </row>
    <row r="2883" spans="1:1" x14ac:dyDescent="0.25">
      <c r="A2883" s="131"/>
    </row>
    <row r="2884" spans="1:1" x14ac:dyDescent="0.25">
      <c r="A2884" s="131"/>
    </row>
    <row r="2885" spans="1:1" x14ac:dyDescent="0.25">
      <c r="A2885" s="131"/>
    </row>
    <row r="2886" spans="1:1" x14ac:dyDescent="0.25">
      <c r="A2886" s="131"/>
    </row>
    <row r="2887" spans="1:1" x14ac:dyDescent="0.25">
      <c r="A2887" s="131"/>
    </row>
    <row r="2888" spans="1:1" x14ac:dyDescent="0.25">
      <c r="A2888" s="131"/>
    </row>
    <row r="2889" spans="1:1" x14ac:dyDescent="0.25">
      <c r="A2889" s="131"/>
    </row>
    <row r="2890" spans="1:1" x14ac:dyDescent="0.25">
      <c r="A2890" s="131"/>
    </row>
    <row r="2891" spans="1:1" x14ac:dyDescent="0.25">
      <c r="A2891" s="131"/>
    </row>
    <row r="2892" spans="1:1" x14ac:dyDescent="0.25">
      <c r="A2892" s="131"/>
    </row>
    <row r="2893" spans="1:1" x14ac:dyDescent="0.25">
      <c r="A2893" s="131"/>
    </row>
    <row r="2894" spans="1:1" x14ac:dyDescent="0.25">
      <c r="A2894" s="131"/>
    </row>
    <row r="2895" spans="1:1" x14ac:dyDescent="0.25">
      <c r="A2895" s="131"/>
    </row>
    <row r="2896" spans="1:1" x14ac:dyDescent="0.25">
      <c r="A2896" s="131"/>
    </row>
    <row r="2897" spans="1:1" x14ac:dyDescent="0.25">
      <c r="A2897" s="131"/>
    </row>
    <row r="2898" spans="1:1" x14ac:dyDescent="0.25">
      <c r="A2898" s="131"/>
    </row>
    <row r="2899" spans="1:1" x14ac:dyDescent="0.25">
      <c r="A2899" s="131"/>
    </row>
    <row r="2900" spans="1:1" x14ac:dyDescent="0.25">
      <c r="A2900" s="131"/>
    </row>
    <row r="2901" spans="1:1" x14ac:dyDescent="0.25">
      <c r="A2901" s="131"/>
    </row>
    <row r="2902" spans="1:1" x14ac:dyDescent="0.25">
      <c r="A2902" s="131"/>
    </row>
    <row r="2903" spans="1:1" x14ac:dyDescent="0.25">
      <c r="A2903" s="131"/>
    </row>
    <row r="2904" spans="1:1" x14ac:dyDescent="0.25">
      <c r="A2904" s="131"/>
    </row>
    <row r="2905" spans="1:1" x14ac:dyDescent="0.25">
      <c r="A2905" s="131"/>
    </row>
    <row r="2906" spans="1:1" x14ac:dyDescent="0.25">
      <c r="A2906" s="131"/>
    </row>
    <row r="2907" spans="1:1" x14ac:dyDescent="0.25">
      <c r="A2907" s="131"/>
    </row>
    <row r="2908" spans="1:1" x14ac:dyDescent="0.25">
      <c r="A2908" s="131"/>
    </row>
    <row r="2909" spans="1:1" x14ac:dyDescent="0.25">
      <c r="A2909" s="131"/>
    </row>
    <row r="2910" spans="1:1" x14ac:dyDescent="0.25">
      <c r="A2910" s="131"/>
    </row>
    <row r="2911" spans="1:1" x14ac:dyDescent="0.25">
      <c r="A2911" s="131"/>
    </row>
    <row r="2912" spans="1:1" x14ac:dyDescent="0.25">
      <c r="A2912" s="131"/>
    </row>
    <row r="2913" spans="1:1" x14ac:dyDescent="0.25">
      <c r="A2913" s="131"/>
    </row>
    <row r="2914" spans="1:1" x14ac:dyDescent="0.25">
      <c r="A2914" s="131"/>
    </row>
    <row r="2915" spans="1:1" x14ac:dyDescent="0.25">
      <c r="A2915" s="131"/>
    </row>
    <row r="2916" spans="1:1" x14ac:dyDescent="0.25">
      <c r="A2916" s="131"/>
    </row>
    <row r="2917" spans="1:1" x14ac:dyDescent="0.25">
      <c r="A2917" s="131"/>
    </row>
    <row r="2918" spans="1:1" x14ac:dyDescent="0.25">
      <c r="A2918" s="131"/>
    </row>
    <row r="2919" spans="1:1" x14ac:dyDescent="0.25">
      <c r="A2919" s="131"/>
    </row>
    <row r="2920" spans="1:1" x14ac:dyDescent="0.25">
      <c r="A2920" s="131"/>
    </row>
    <row r="2921" spans="1:1" x14ac:dyDescent="0.25">
      <c r="A2921" s="131"/>
    </row>
    <row r="2922" spans="1:1" x14ac:dyDescent="0.25">
      <c r="A2922" s="131"/>
    </row>
    <row r="2923" spans="1:1" x14ac:dyDescent="0.25">
      <c r="A2923" s="131"/>
    </row>
    <row r="2924" spans="1:1" x14ac:dyDescent="0.25">
      <c r="A2924" s="131"/>
    </row>
    <row r="2925" spans="1:1" x14ac:dyDescent="0.25">
      <c r="A2925" s="131"/>
    </row>
    <row r="2926" spans="1:1" x14ac:dyDescent="0.25">
      <c r="A2926" s="131"/>
    </row>
    <row r="2927" spans="1:1" x14ac:dyDescent="0.25">
      <c r="A2927" s="131"/>
    </row>
    <row r="2928" spans="1:1" x14ac:dyDescent="0.25">
      <c r="A2928" s="131"/>
    </row>
    <row r="2929" spans="1:1" x14ac:dyDescent="0.25">
      <c r="A2929" s="131"/>
    </row>
    <row r="2930" spans="1:1" x14ac:dyDescent="0.25">
      <c r="A2930" s="131"/>
    </row>
    <row r="2931" spans="1:1" x14ac:dyDescent="0.25">
      <c r="A2931" s="131"/>
    </row>
    <row r="2932" spans="1:1" x14ac:dyDescent="0.25">
      <c r="A2932" s="131"/>
    </row>
    <row r="2933" spans="1:1" x14ac:dyDescent="0.25">
      <c r="A2933" s="131"/>
    </row>
    <row r="2934" spans="1:1" x14ac:dyDescent="0.25">
      <c r="A2934" s="131"/>
    </row>
    <row r="2935" spans="1:1" x14ac:dyDescent="0.25">
      <c r="A2935" s="131"/>
    </row>
    <row r="2936" spans="1:1" x14ac:dyDescent="0.25">
      <c r="A2936" s="131"/>
    </row>
    <row r="2937" spans="1:1" x14ac:dyDescent="0.25">
      <c r="A2937" s="131"/>
    </row>
    <row r="2938" spans="1:1" x14ac:dyDescent="0.25">
      <c r="A2938" s="131"/>
    </row>
    <row r="2939" spans="1:1" x14ac:dyDescent="0.25">
      <c r="A2939" s="131"/>
    </row>
    <row r="2940" spans="1:1" x14ac:dyDescent="0.25">
      <c r="A2940" s="131"/>
    </row>
    <row r="2941" spans="1:1" x14ac:dyDescent="0.25">
      <c r="A2941" s="131"/>
    </row>
    <row r="2942" spans="1:1" x14ac:dyDescent="0.25">
      <c r="A2942" s="131"/>
    </row>
    <row r="2943" spans="1:1" x14ac:dyDescent="0.25">
      <c r="A2943" s="131"/>
    </row>
    <row r="2944" spans="1:1" x14ac:dyDescent="0.25">
      <c r="A2944" s="131"/>
    </row>
    <row r="2945" spans="1:1" x14ac:dyDescent="0.25">
      <c r="A2945" s="131"/>
    </row>
    <row r="2946" spans="1:1" x14ac:dyDescent="0.25">
      <c r="A2946" s="131"/>
    </row>
    <row r="2947" spans="1:1" x14ac:dyDescent="0.25">
      <c r="A2947" s="131"/>
    </row>
    <row r="2948" spans="1:1" x14ac:dyDescent="0.25">
      <c r="A2948" s="131"/>
    </row>
    <row r="2949" spans="1:1" x14ac:dyDescent="0.25">
      <c r="A2949" s="131"/>
    </row>
    <row r="2950" spans="1:1" x14ac:dyDescent="0.25">
      <c r="A2950" s="131"/>
    </row>
    <row r="2951" spans="1:1" x14ac:dyDescent="0.25">
      <c r="A2951" s="131"/>
    </row>
    <row r="2952" spans="1:1" x14ac:dyDescent="0.25">
      <c r="A2952" s="131"/>
    </row>
    <row r="2953" spans="1:1" x14ac:dyDescent="0.25">
      <c r="A2953" s="131"/>
    </row>
    <row r="2954" spans="1:1" x14ac:dyDescent="0.25">
      <c r="A2954" s="131"/>
    </row>
    <row r="2955" spans="1:1" x14ac:dyDescent="0.25">
      <c r="A2955" s="131"/>
    </row>
    <row r="2956" spans="1:1" x14ac:dyDescent="0.25">
      <c r="A2956" s="131"/>
    </row>
    <row r="2957" spans="1:1" x14ac:dyDescent="0.25">
      <c r="A2957" s="131"/>
    </row>
    <row r="2958" spans="1:1" x14ac:dyDescent="0.25">
      <c r="A2958" s="131"/>
    </row>
    <row r="2959" spans="1:1" x14ac:dyDescent="0.25">
      <c r="A2959" s="131"/>
    </row>
    <row r="2960" spans="1:1" x14ac:dyDescent="0.25">
      <c r="A2960" s="131"/>
    </row>
    <row r="2961" spans="1:1" x14ac:dyDescent="0.25">
      <c r="A2961" s="131"/>
    </row>
    <row r="2962" spans="1:1" x14ac:dyDescent="0.25">
      <c r="A2962" s="131"/>
    </row>
    <row r="2963" spans="1:1" x14ac:dyDescent="0.25">
      <c r="A2963" s="131"/>
    </row>
    <row r="2964" spans="1:1" x14ac:dyDescent="0.25">
      <c r="A2964" s="131"/>
    </row>
    <row r="2965" spans="1:1" x14ac:dyDescent="0.25">
      <c r="A2965" s="131"/>
    </row>
    <row r="2966" spans="1:1" x14ac:dyDescent="0.25">
      <c r="A2966" s="131"/>
    </row>
    <row r="2967" spans="1:1" x14ac:dyDescent="0.25">
      <c r="A2967" s="131"/>
    </row>
    <row r="2968" spans="1:1" x14ac:dyDescent="0.25">
      <c r="A2968" s="131"/>
    </row>
    <row r="2969" spans="1:1" x14ac:dyDescent="0.25">
      <c r="A2969" s="131"/>
    </row>
    <row r="2970" spans="1:1" x14ac:dyDescent="0.25">
      <c r="A2970" s="131"/>
    </row>
    <row r="2971" spans="1:1" x14ac:dyDescent="0.25">
      <c r="A2971" s="131"/>
    </row>
    <row r="2972" spans="1:1" x14ac:dyDescent="0.25">
      <c r="A2972" s="131"/>
    </row>
    <row r="2973" spans="1:1" x14ac:dyDescent="0.25">
      <c r="A2973" s="131"/>
    </row>
    <row r="2974" spans="1:1" x14ac:dyDescent="0.25">
      <c r="A2974" s="131"/>
    </row>
    <row r="2975" spans="1:1" x14ac:dyDescent="0.25">
      <c r="A2975" s="131"/>
    </row>
    <row r="2976" spans="1:1" x14ac:dyDescent="0.25">
      <c r="A2976" s="131"/>
    </row>
    <row r="2977" spans="1:1" x14ac:dyDescent="0.25">
      <c r="A2977" s="131"/>
    </row>
    <row r="2978" spans="1:1" x14ac:dyDescent="0.25">
      <c r="A2978" s="131"/>
    </row>
    <row r="2979" spans="1:1" x14ac:dyDescent="0.25">
      <c r="A2979" s="131"/>
    </row>
    <row r="2980" spans="1:1" x14ac:dyDescent="0.25">
      <c r="A2980" s="131"/>
    </row>
    <row r="2981" spans="1:1" x14ac:dyDescent="0.25">
      <c r="A2981" s="131"/>
    </row>
    <row r="2982" spans="1:1" x14ac:dyDescent="0.25">
      <c r="A2982" s="131"/>
    </row>
    <row r="2983" spans="1:1" x14ac:dyDescent="0.25">
      <c r="A2983" s="131"/>
    </row>
    <row r="2984" spans="1:1" x14ac:dyDescent="0.25">
      <c r="A2984" s="131"/>
    </row>
    <row r="2985" spans="1:1" x14ac:dyDescent="0.25">
      <c r="A2985" s="131"/>
    </row>
    <row r="2986" spans="1:1" x14ac:dyDescent="0.25">
      <c r="A2986" s="131"/>
    </row>
    <row r="2987" spans="1:1" x14ac:dyDescent="0.25">
      <c r="A2987" s="131"/>
    </row>
    <row r="2988" spans="1:1" x14ac:dyDescent="0.25">
      <c r="A2988" s="131"/>
    </row>
    <row r="2989" spans="1:1" x14ac:dyDescent="0.25">
      <c r="A2989" s="131"/>
    </row>
    <row r="2990" spans="1:1" x14ac:dyDescent="0.25">
      <c r="A2990" s="131"/>
    </row>
    <row r="2991" spans="1:1" x14ac:dyDescent="0.25">
      <c r="A2991" s="131"/>
    </row>
    <row r="2992" spans="1:1" x14ac:dyDescent="0.25">
      <c r="A2992" s="131"/>
    </row>
    <row r="2993" spans="1:1" x14ac:dyDescent="0.25">
      <c r="A2993" s="131"/>
    </row>
    <row r="2994" spans="1:1" x14ac:dyDescent="0.25">
      <c r="A2994" s="131"/>
    </row>
    <row r="2995" spans="1:1" x14ac:dyDescent="0.25">
      <c r="A2995" s="131"/>
    </row>
    <row r="2996" spans="1:1" x14ac:dyDescent="0.25">
      <c r="A2996" s="131"/>
    </row>
    <row r="2997" spans="1:1" x14ac:dyDescent="0.25">
      <c r="A2997" s="131"/>
    </row>
    <row r="2998" spans="1:1" x14ac:dyDescent="0.25">
      <c r="A2998" s="131"/>
    </row>
    <row r="2999" spans="1:1" x14ac:dyDescent="0.25">
      <c r="A2999" s="131"/>
    </row>
    <row r="3000" spans="1:1" x14ac:dyDescent="0.25">
      <c r="A3000" s="131"/>
    </row>
    <row r="3001" spans="1:1" x14ac:dyDescent="0.25">
      <c r="A3001" s="131"/>
    </row>
    <row r="3002" spans="1:1" x14ac:dyDescent="0.25">
      <c r="A3002" s="131"/>
    </row>
    <row r="3003" spans="1:1" x14ac:dyDescent="0.25">
      <c r="A3003" s="131"/>
    </row>
    <row r="3004" spans="1:1" x14ac:dyDescent="0.25">
      <c r="A3004" s="131"/>
    </row>
    <row r="3005" spans="1:1" x14ac:dyDescent="0.25">
      <c r="A3005" s="131"/>
    </row>
    <row r="3006" spans="1:1" x14ac:dyDescent="0.25">
      <c r="A3006" s="131"/>
    </row>
    <row r="3007" spans="1:1" x14ac:dyDescent="0.25">
      <c r="A3007" s="131"/>
    </row>
    <row r="3008" spans="1:1" x14ac:dyDescent="0.25">
      <c r="A3008" s="131"/>
    </row>
    <row r="3009" spans="1:1" x14ac:dyDescent="0.25">
      <c r="A3009" s="131"/>
    </row>
    <row r="3010" spans="1:1" x14ac:dyDescent="0.25">
      <c r="A3010" s="131"/>
    </row>
    <row r="3011" spans="1:1" x14ac:dyDescent="0.25">
      <c r="A3011" s="131"/>
    </row>
    <row r="3012" spans="1:1" x14ac:dyDescent="0.25">
      <c r="A3012" s="131"/>
    </row>
    <row r="3013" spans="1:1" x14ac:dyDescent="0.25">
      <c r="A3013" s="131"/>
    </row>
    <row r="3014" spans="1:1" x14ac:dyDescent="0.25">
      <c r="A3014" s="131"/>
    </row>
    <row r="3015" spans="1:1" x14ac:dyDescent="0.25">
      <c r="A3015" s="131"/>
    </row>
    <row r="3016" spans="1:1" x14ac:dyDescent="0.25">
      <c r="A3016" s="131"/>
    </row>
    <row r="3017" spans="1:1" x14ac:dyDescent="0.25">
      <c r="A3017" s="131"/>
    </row>
    <row r="3018" spans="1:1" x14ac:dyDescent="0.25">
      <c r="A3018" s="131"/>
    </row>
    <row r="3019" spans="1:1" x14ac:dyDescent="0.25">
      <c r="A3019" s="131"/>
    </row>
    <row r="3020" spans="1:1" x14ac:dyDescent="0.25">
      <c r="A3020" s="131"/>
    </row>
    <row r="3021" spans="1:1" x14ac:dyDescent="0.25">
      <c r="A3021" s="131"/>
    </row>
    <row r="3022" spans="1:1" x14ac:dyDescent="0.25">
      <c r="A3022" s="131"/>
    </row>
    <row r="3023" spans="1:1" x14ac:dyDescent="0.25">
      <c r="A3023" s="131"/>
    </row>
    <row r="3024" spans="1:1" x14ac:dyDescent="0.25">
      <c r="A3024" s="131"/>
    </row>
    <row r="3025" spans="1:1" x14ac:dyDescent="0.25">
      <c r="A3025" s="131"/>
    </row>
    <row r="3026" spans="1:1" x14ac:dyDescent="0.25">
      <c r="A3026" s="131"/>
    </row>
    <row r="3027" spans="1:1" x14ac:dyDescent="0.25">
      <c r="A3027" s="131"/>
    </row>
    <row r="3028" spans="1:1" x14ac:dyDescent="0.25">
      <c r="A3028" s="131"/>
    </row>
    <row r="3029" spans="1:1" x14ac:dyDescent="0.25">
      <c r="A3029" s="131"/>
    </row>
    <row r="3030" spans="1:1" x14ac:dyDescent="0.25">
      <c r="A3030" s="131"/>
    </row>
    <row r="3031" spans="1:1" x14ac:dyDescent="0.25">
      <c r="A3031" s="131"/>
    </row>
    <row r="3032" spans="1:1" x14ac:dyDescent="0.25">
      <c r="A3032" s="131"/>
    </row>
    <row r="3033" spans="1:1" x14ac:dyDescent="0.25">
      <c r="A3033" s="131"/>
    </row>
    <row r="3034" spans="1:1" x14ac:dyDescent="0.25">
      <c r="A3034" s="131"/>
    </row>
    <row r="3035" spans="1:1" x14ac:dyDescent="0.25">
      <c r="A3035" s="131"/>
    </row>
    <row r="3036" spans="1:1" x14ac:dyDescent="0.25">
      <c r="A3036" s="131"/>
    </row>
    <row r="3037" spans="1:1" x14ac:dyDescent="0.25">
      <c r="A3037" s="131"/>
    </row>
    <row r="3038" spans="1:1" x14ac:dyDescent="0.25">
      <c r="A3038" s="131"/>
    </row>
    <row r="3039" spans="1:1" x14ac:dyDescent="0.25">
      <c r="A3039" s="131"/>
    </row>
    <row r="3040" spans="1:1" x14ac:dyDescent="0.25">
      <c r="A3040" s="131"/>
    </row>
    <row r="3041" spans="1:1" x14ac:dyDescent="0.25">
      <c r="A3041" s="131"/>
    </row>
    <row r="3042" spans="1:1" x14ac:dyDescent="0.25">
      <c r="A3042" s="131"/>
    </row>
    <row r="3043" spans="1:1" x14ac:dyDescent="0.25">
      <c r="A3043" s="131"/>
    </row>
    <row r="3044" spans="1:1" x14ac:dyDescent="0.25">
      <c r="A3044" s="131"/>
    </row>
    <row r="3045" spans="1:1" x14ac:dyDescent="0.25">
      <c r="A3045" s="131"/>
    </row>
    <row r="3046" spans="1:1" x14ac:dyDescent="0.25">
      <c r="A3046" s="131"/>
    </row>
    <row r="3047" spans="1:1" x14ac:dyDescent="0.25">
      <c r="A3047" s="131"/>
    </row>
    <row r="3048" spans="1:1" x14ac:dyDescent="0.25">
      <c r="A3048" s="131"/>
    </row>
    <row r="3049" spans="1:1" x14ac:dyDescent="0.25">
      <c r="A3049" s="131"/>
    </row>
    <row r="3050" spans="1:1" x14ac:dyDescent="0.25">
      <c r="A3050" s="131"/>
    </row>
    <row r="3051" spans="1:1" x14ac:dyDescent="0.25">
      <c r="A3051" s="131"/>
    </row>
    <row r="3052" spans="1:1" x14ac:dyDescent="0.25">
      <c r="A3052" s="131"/>
    </row>
    <row r="3053" spans="1:1" x14ac:dyDescent="0.25">
      <c r="A3053" s="131"/>
    </row>
    <row r="3054" spans="1:1" x14ac:dyDescent="0.25">
      <c r="A3054" s="131"/>
    </row>
    <row r="3055" spans="1:1" x14ac:dyDescent="0.25">
      <c r="A3055" s="131"/>
    </row>
    <row r="3056" spans="1:1" x14ac:dyDescent="0.25">
      <c r="A3056" s="131"/>
    </row>
    <row r="3057" spans="1:1" x14ac:dyDescent="0.25">
      <c r="A3057" s="131"/>
    </row>
    <row r="3058" spans="1:1" x14ac:dyDescent="0.25">
      <c r="A3058" s="131"/>
    </row>
    <row r="3059" spans="1:1" x14ac:dyDescent="0.25">
      <c r="A3059" s="131"/>
    </row>
    <row r="3060" spans="1:1" x14ac:dyDescent="0.25">
      <c r="A3060" s="131"/>
    </row>
    <row r="3061" spans="1:1" x14ac:dyDescent="0.25">
      <c r="A3061" s="131"/>
    </row>
    <row r="3062" spans="1:1" x14ac:dyDescent="0.25">
      <c r="A3062" s="131"/>
    </row>
    <row r="3063" spans="1:1" x14ac:dyDescent="0.25">
      <c r="A3063" s="131"/>
    </row>
    <row r="3064" spans="1:1" x14ac:dyDescent="0.25">
      <c r="A3064" s="131"/>
    </row>
    <row r="3065" spans="1:1" x14ac:dyDescent="0.25">
      <c r="A3065" s="131"/>
    </row>
    <row r="3066" spans="1:1" x14ac:dyDescent="0.25">
      <c r="A3066" s="131"/>
    </row>
    <row r="3067" spans="1:1" x14ac:dyDescent="0.25">
      <c r="A3067" s="131"/>
    </row>
    <row r="3068" spans="1:1" x14ac:dyDescent="0.25">
      <c r="A3068" s="131"/>
    </row>
    <row r="3069" spans="1:1" x14ac:dyDescent="0.25">
      <c r="A3069" s="131"/>
    </row>
    <row r="3070" spans="1:1" x14ac:dyDescent="0.25">
      <c r="A3070" s="131"/>
    </row>
    <row r="3071" spans="1:1" x14ac:dyDescent="0.25">
      <c r="A3071" s="131"/>
    </row>
    <row r="3072" spans="1:1" x14ac:dyDescent="0.25">
      <c r="A3072" s="131"/>
    </row>
    <row r="3073" spans="1:1" x14ac:dyDescent="0.25">
      <c r="A3073" s="131"/>
    </row>
    <row r="3074" spans="1:1" x14ac:dyDescent="0.25">
      <c r="A3074" s="131"/>
    </row>
    <row r="3075" spans="1:1" x14ac:dyDescent="0.25">
      <c r="A3075" s="131"/>
    </row>
    <row r="3076" spans="1:1" x14ac:dyDescent="0.25">
      <c r="A3076" s="131"/>
    </row>
    <row r="3077" spans="1:1" x14ac:dyDescent="0.25">
      <c r="A3077" s="131"/>
    </row>
    <row r="3078" spans="1:1" x14ac:dyDescent="0.25">
      <c r="A3078" s="131"/>
    </row>
    <row r="3079" spans="1:1" x14ac:dyDescent="0.25">
      <c r="A3079" s="131"/>
    </row>
    <row r="3080" spans="1:1" x14ac:dyDescent="0.25">
      <c r="A3080" s="131"/>
    </row>
    <row r="3081" spans="1:1" x14ac:dyDescent="0.25">
      <c r="A3081" s="131"/>
    </row>
    <row r="3082" spans="1:1" x14ac:dyDescent="0.25">
      <c r="A3082" s="131"/>
    </row>
    <row r="3083" spans="1:1" x14ac:dyDescent="0.25">
      <c r="A3083" s="131"/>
    </row>
    <row r="3084" spans="1:1" x14ac:dyDescent="0.25">
      <c r="A3084" s="131"/>
    </row>
    <row r="3085" spans="1:1" x14ac:dyDescent="0.25">
      <c r="A3085" s="131"/>
    </row>
    <row r="3086" spans="1:1" x14ac:dyDescent="0.25">
      <c r="A3086" s="131"/>
    </row>
    <row r="3087" spans="1:1" x14ac:dyDescent="0.25">
      <c r="A3087" s="131"/>
    </row>
    <row r="3088" spans="1:1" x14ac:dyDescent="0.25">
      <c r="A3088" s="131"/>
    </row>
    <row r="3089" spans="1:1" x14ac:dyDescent="0.25">
      <c r="A3089" s="131"/>
    </row>
    <row r="3090" spans="1:1" x14ac:dyDescent="0.25">
      <c r="A3090" s="131"/>
    </row>
    <row r="3091" spans="1:1" x14ac:dyDescent="0.25">
      <c r="A3091" s="131"/>
    </row>
    <row r="3092" spans="1:1" x14ac:dyDescent="0.25">
      <c r="A3092" s="131"/>
    </row>
    <row r="3093" spans="1:1" x14ac:dyDescent="0.25">
      <c r="A3093" s="131"/>
    </row>
    <row r="3094" spans="1:1" x14ac:dyDescent="0.25">
      <c r="A3094" s="131"/>
    </row>
    <row r="3095" spans="1:1" x14ac:dyDescent="0.25">
      <c r="A3095" s="131"/>
    </row>
    <row r="3096" spans="1:1" x14ac:dyDescent="0.25">
      <c r="A3096" s="131"/>
    </row>
    <row r="3097" spans="1:1" x14ac:dyDescent="0.25">
      <c r="A3097" s="131"/>
    </row>
    <row r="3098" spans="1:1" x14ac:dyDescent="0.25">
      <c r="A3098" s="131"/>
    </row>
    <row r="3099" spans="1:1" x14ac:dyDescent="0.25">
      <c r="A3099" s="131"/>
    </row>
    <row r="3100" spans="1:1" x14ac:dyDescent="0.25">
      <c r="A3100" s="131"/>
    </row>
    <row r="3101" spans="1:1" x14ac:dyDescent="0.25">
      <c r="A3101" s="131"/>
    </row>
    <row r="3102" spans="1:1" x14ac:dyDescent="0.25">
      <c r="A3102" s="131"/>
    </row>
    <row r="3103" spans="1:1" x14ac:dyDescent="0.25">
      <c r="A3103" s="131"/>
    </row>
    <row r="3104" spans="1:1" x14ac:dyDescent="0.25">
      <c r="A3104" s="131"/>
    </row>
    <row r="3105" spans="1:1" x14ac:dyDescent="0.25">
      <c r="A3105" s="131"/>
    </row>
    <row r="3106" spans="1:1" x14ac:dyDescent="0.25">
      <c r="A3106" s="131"/>
    </row>
    <row r="3107" spans="1:1" x14ac:dyDescent="0.25">
      <c r="A3107" s="131"/>
    </row>
    <row r="3108" spans="1:1" x14ac:dyDescent="0.25">
      <c r="A3108" s="131"/>
    </row>
    <row r="3109" spans="1:1" x14ac:dyDescent="0.25">
      <c r="A3109" s="131"/>
    </row>
    <row r="3110" spans="1:1" x14ac:dyDescent="0.25">
      <c r="A3110" s="131"/>
    </row>
    <row r="3111" spans="1:1" x14ac:dyDescent="0.25">
      <c r="A3111" s="131"/>
    </row>
    <row r="3112" spans="1:1" x14ac:dyDescent="0.25">
      <c r="A3112" s="131"/>
    </row>
    <row r="3113" spans="1:1" x14ac:dyDescent="0.25">
      <c r="A3113" s="131"/>
    </row>
    <row r="3114" spans="1:1" x14ac:dyDescent="0.25">
      <c r="A3114" s="131"/>
    </row>
    <row r="3115" spans="1:1" x14ac:dyDescent="0.25">
      <c r="A3115" s="131"/>
    </row>
    <row r="3116" spans="1:1" x14ac:dyDescent="0.25">
      <c r="A3116" s="131"/>
    </row>
    <row r="3117" spans="1:1" x14ac:dyDescent="0.25">
      <c r="A3117" s="131"/>
    </row>
    <row r="3118" spans="1:1" x14ac:dyDescent="0.25">
      <c r="A3118" s="131"/>
    </row>
    <row r="3119" spans="1:1" x14ac:dyDescent="0.25">
      <c r="A3119" s="131"/>
    </row>
    <row r="3120" spans="1:1" x14ac:dyDescent="0.25">
      <c r="A3120" s="131"/>
    </row>
    <row r="3121" spans="1:1" x14ac:dyDescent="0.25">
      <c r="A3121" s="131"/>
    </row>
    <row r="3122" spans="1:1" x14ac:dyDescent="0.25">
      <c r="A3122" s="131"/>
    </row>
    <row r="3123" spans="1:1" x14ac:dyDescent="0.25">
      <c r="A3123" s="131"/>
    </row>
    <row r="3124" spans="1:1" x14ac:dyDescent="0.25">
      <c r="A3124" s="131"/>
    </row>
    <row r="3125" spans="1:1" x14ac:dyDescent="0.25">
      <c r="A3125" s="131"/>
    </row>
    <row r="3126" spans="1:1" x14ac:dyDescent="0.25">
      <c r="A3126" s="131"/>
    </row>
    <row r="3127" spans="1:1" x14ac:dyDescent="0.25">
      <c r="A3127" s="131"/>
    </row>
    <row r="3128" spans="1:1" x14ac:dyDescent="0.25">
      <c r="A3128" s="131"/>
    </row>
    <row r="3129" spans="1:1" x14ac:dyDescent="0.25">
      <c r="A3129" s="131"/>
    </row>
    <row r="3130" spans="1:1" x14ac:dyDescent="0.25">
      <c r="A3130" s="131"/>
    </row>
    <row r="3131" spans="1:1" x14ac:dyDescent="0.25">
      <c r="A3131" s="131"/>
    </row>
    <row r="3132" spans="1:1" x14ac:dyDescent="0.25">
      <c r="A3132" s="131"/>
    </row>
    <row r="3133" spans="1:1" x14ac:dyDescent="0.25">
      <c r="A3133" s="131"/>
    </row>
    <row r="3134" spans="1:1" x14ac:dyDescent="0.25">
      <c r="A3134" s="131"/>
    </row>
    <row r="3135" spans="1:1" x14ac:dyDescent="0.25">
      <c r="A3135" s="131"/>
    </row>
    <row r="3136" spans="1:1" x14ac:dyDescent="0.25">
      <c r="A3136" s="131"/>
    </row>
    <row r="3137" spans="1:1" x14ac:dyDescent="0.25">
      <c r="A3137" s="131"/>
    </row>
    <row r="3138" spans="1:1" x14ac:dyDescent="0.25">
      <c r="A3138" s="131"/>
    </row>
    <row r="3139" spans="1:1" x14ac:dyDescent="0.25">
      <c r="A3139" s="131"/>
    </row>
    <row r="3140" spans="1:1" x14ac:dyDescent="0.25">
      <c r="A3140" s="131"/>
    </row>
    <row r="3141" spans="1:1" x14ac:dyDescent="0.25">
      <c r="A3141" s="131"/>
    </row>
    <row r="3142" spans="1:1" x14ac:dyDescent="0.25">
      <c r="A3142" s="131"/>
    </row>
    <row r="3143" spans="1:1" x14ac:dyDescent="0.25">
      <c r="A3143" s="131"/>
    </row>
    <row r="3144" spans="1:1" x14ac:dyDescent="0.25">
      <c r="A3144" s="131"/>
    </row>
    <row r="3145" spans="1:1" x14ac:dyDescent="0.25">
      <c r="A3145" s="131"/>
    </row>
    <row r="3146" spans="1:1" x14ac:dyDescent="0.25">
      <c r="A3146" s="131"/>
    </row>
    <row r="3147" spans="1:1" x14ac:dyDescent="0.25">
      <c r="A3147" s="131"/>
    </row>
    <row r="3148" spans="1:1" x14ac:dyDescent="0.25">
      <c r="A3148" s="131"/>
    </row>
    <row r="3149" spans="1:1" x14ac:dyDescent="0.25">
      <c r="A3149" s="131"/>
    </row>
    <row r="3150" spans="1:1" x14ac:dyDescent="0.25">
      <c r="A3150" s="131"/>
    </row>
    <row r="3151" spans="1:1" x14ac:dyDescent="0.25">
      <c r="A3151" s="131"/>
    </row>
    <row r="3152" spans="1:1" x14ac:dyDescent="0.25">
      <c r="A3152" s="131"/>
    </row>
    <row r="3153" spans="1:1" x14ac:dyDescent="0.25">
      <c r="A3153" s="131"/>
    </row>
    <row r="3154" spans="1:1" x14ac:dyDescent="0.25">
      <c r="A3154" s="131"/>
    </row>
    <row r="3155" spans="1:1" x14ac:dyDescent="0.25">
      <c r="A3155" s="131"/>
    </row>
    <row r="3156" spans="1:1" x14ac:dyDescent="0.25">
      <c r="A3156" s="131"/>
    </row>
    <row r="3157" spans="1:1" x14ac:dyDescent="0.25">
      <c r="A3157" s="131"/>
    </row>
    <row r="3158" spans="1:1" x14ac:dyDescent="0.25">
      <c r="A3158" s="131"/>
    </row>
    <row r="3159" spans="1:1" x14ac:dyDescent="0.25">
      <c r="A3159" s="131"/>
    </row>
    <row r="3160" spans="1:1" x14ac:dyDescent="0.25">
      <c r="A3160" s="131"/>
    </row>
    <row r="3161" spans="1:1" x14ac:dyDescent="0.25">
      <c r="A3161" s="131"/>
    </row>
    <row r="3162" spans="1:1" x14ac:dyDescent="0.25">
      <c r="A3162" s="131"/>
    </row>
    <row r="3163" spans="1:1" x14ac:dyDescent="0.25">
      <c r="A3163" s="131"/>
    </row>
    <row r="3164" spans="1:1" x14ac:dyDescent="0.25">
      <c r="A3164" s="131"/>
    </row>
    <row r="3165" spans="1:1" x14ac:dyDescent="0.25">
      <c r="A3165" s="131"/>
    </row>
    <row r="3166" spans="1:1" x14ac:dyDescent="0.25">
      <c r="A3166" s="131"/>
    </row>
    <row r="3167" spans="1:1" x14ac:dyDescent="0.25">
      <c r="A3167" s="131"/>
    </row>
    <row r="3168" spans="1:1" x14ac:dyDescent="0.25">
      <c r="A3168" s="131"/>
    </row>
    <row r="3169" spans="1:1" x14ac:dyDescent="0.25">
      <c r="A3169" s="131"/>
    </row>
    <row r="3170" spans="1:1" x14ac:dyDescent="0.25">
      <c r="A3170" s="131"/>
    </row>
    <row r="3171" spans="1:1" x14ac:dyDescent="0.25">
      <c r="A3171" s="131"/>
    </row>
    <row r="3172" spans="1:1" x14ac:dyDescent="0.25">
      <c r="A3172" s="131"/>
    </row>
    <row r="3173" spans="1:1" x14ac:dyDescent="0.25">
      <c r="A3173" s="131"/>
    </row>
    <row r="3174" spans="1:1" x14ac:dyDescent="0.25">
      <c r="A3174" s="131"/>
    </row>
    <row r="3175" spans="1:1" x14ac:dyDescent="0.25">
      <c r="A3175" s="131"/>
    </row>
    <row r="3176" spans="1:1" x14ac:dyDescent="0.25">
      <c r="A3176" s="131"/>
    </row>
    <row r="3177" spans="1:1" x14ac:dyDescent="0.25">
      <c r="A3177" s="131"/>
    </row>
    <row r="3178" spans="1:1" x14ac:dyDescent="0.25">
      <c r="A3178" s="131"/>
    </row>
    <row r="3179" spans="1:1" x14ac:dyDescent="0.25">
      <c r="A3179" s="131"/>
    </row>
    <row r="3180" spans="1:1" x14ac:dyDescent="0.25">
      <c r="A3180" s="131"/>
    </row>
    <row r="3181" spans="1:1" x14ac:dyDescent="0.25">
      <c r="A3181" s="131"/>
    </row>
    <row r="3182" spans="1:1" x14ac:dyDescent="0.25">
      <c r="A3182" s="131"/>
    </row>
    <row r="3183" spans="1:1" x14ac:dyDescent="0.25">
      <c r="A3183" s="131"/>
    </row>
    <row r="3184" spans="1:1" x14ac:dyDescent="0.25">
      <c r="A3184" s="131"/>
    </row>
    <row r="3185" spans="1:1" x14ac:dyDescent="0.25">
      <c r="A3185" s="131"/>
    </row>
    <row r="3186" spans="1:1" x14ac:dyDescent="0.25">
      <c r="A3186" s="131"/>
    </row>
    <row r="3187" spans="1:1" x14ac:dyDescent="0.25">
      <c r="A3187" s="131"/>
    </row>
    <row r="3188" spans="1:1" x14ac:dyDescent="0.25">
      <c r="A3188" s="131"/>
    </row>
    <row r="3189" spans="1:1" x14ac:dyDescent="0.25">
      <c r="A3189" s="131"/>
    </row>
    <row r="3190" spans="1:1" x14ac:dyDescent="0.25">
      <c r="A3190" s="131"/>
    </row>
    <row r="3191" spans="1:1" x14ac:dyDescent="0.25">
      <c r="A3191" s="131"/>
    </row>
    <row r="3192" spans="1:1" x14ac:dyDescent="0.25">
      <c r="A3192" s="131"/>
    </row>
    <row r="3193" spans="1:1" x14ac:dyDescent="0.25">
      <c r="A3193" s="131"/>
    </row>
    <row r="3194" spans="1:1" x14ac:dyDescent="0.25">
      <c r="A3194" s="131"/>
    </row>
    <row r="3195" spans="1:1" x14ac:dyDescent="0.25">
      <c r="A3195" s="131"/>
    </row>
    <row r="3196" spans="1:1" x14ac:dyDescent="0.25">
      <c r="A3196" s="131"/>
    </row>
    <row r="3197" spans="1:1" x14ac:dyDescent="0.25">
      <c r="A3197" s="131"/>
    </row>
    <row r="3198" spans="1:1" x14ac:dyDescent="0.25">
      <c r="A3198" s="131"/>
    </row>
    <row r="3199" spans="1:1" x14ac:dyDescent="0.25">
      <c r="A3199" s="131"/>
    </row>
    <row r="3200" spans="1:1" x14ac:dyDescent="0.25">
      <c r="A3200" s="131"/>
    </row>
    <row r="3201" spans="1:1" x14ac:dyDescent="0.25">
      <c r="A3201" s="131"/>
    </row>
    <row r="3202" spans="1:1" x14ac:dyDescent="0.25">
      <c r="A3202" s="131"/>
    </row>
    <row r="3203" spans="1:1" x14ac:dyDescent="0.25">
      <c r="A3203" s="131"/>
    </row>
    <row r="3204" spans="1:1" x14ac:dyDescent="0.25">
      <c r="A3204" s="131"/>
    </row>
    <row r="3205" spans="1:1" x14ac:dyDescent="0.25">
      <c r="A3205" s="131"/>
    </row>
    <row r="3206" spans="1:1" x14ac:dyDescent="0.25">
      <c r="A3206" s="131"/>
    </row>
    <row r="3207" spans="1:1" x14ac:dyDescent="0.25">
      <c r="A3207" s="131"/>
    </row>
    <row r="3208" spans="1:1" x14ac:dyDescent="0.25">
      <c r="A3208" s="131"/>
    </row>
    <row r="3209" spans="1:1" x14ac:dyDescent="0.25">
      <c r="A3209" s="131"/>
    </row>
    <row r="3210" spans="1:1" x14ac:dyDescent="0.25">
      <c r="A3210" s="131"/>
    </row>
    <row r="3211" spans="1:1" x14ac:dyDescent="0.25">
      <c r="A3211" s="131"/>
    </row>
    <row r="3212" spans="1:1" x14ac:dyDescent="0.25">
      <c r="A3212" s="131"/>
    </row>
    <row r="3213" spans="1:1" x14ac:dyDescent="0.25">
      <c r="A3213" s="131"/>
    </row>
    <row r="3214" spans="1:1" x14ac:dyDescent="0.25">
      <c r="A3214" s="131"/>
    </row>
    <row r="3215" spans="1:1" x14ac:dyDescent="0.25">
      <c r="A3215" s="131"/>
    </row>
    <row r="3216" spans="1:1" x14ac:dyDescent="0.25">
      <c r="A3216" s="131"/>
    </row>
    <row r="3217" spans="1:1" x14ac:dyDescent="0.25">
      <c r="A3217" s="131"/>
    </row>
    <row r="3218" spans="1:1" x14ac:dyDescent="0.25">
      <c r="A3218" s="131"/>
    </row>
    <row r="3219" spans="1:1" x14ac:dyDescent="0.25">
      <c r="A3219" s="131"/>
    </row>
    <row r="3220" spans="1:1" x14ac:dyDescent="0.25">
      <c r="A3220" s="131"/>
    </row>
    <row r="3221" spans="1:1" x14ac:dyDescent="0.25">
      <c r="A3221" s="131"/>
    </row>
    <row r="3222" spans="1:1" x14ac:dyDescent="0.25">
      <c r="A3222" s="131"/>
    </row>
    <row r="3223" spans="1:1" x14ac:dyDescent="0.25">
      <c r="A3223" s="131"/>
    </row>
    <row r="3224" spans="1:1" x14ac:dyDescent="0.25">
      <c r="A3224" s="131"/>
    </row>
    <row r="3225" spans="1:1" x14ac:dyDescent="0.25">
      <c r="A3225" s="131"/>
    </row>
    <row r="3226" spans="1:1" x14ac:dyDescent="0.25">
      <c r="A3226" s="131"/>
    </row>
    <row r="3227" spans="1:1" x14ac:dyDescent="0.25">
      <c r="A3227" s="131"/>
    </row>
    <row r="3228" spans="1:1" x14ac:dyDescent="0.25">
      <c r="A3228" s="131"/>
    </row>
    <row r="3229" spans="1:1" x14ac:dyDescent="0.25">
      <c r="A3229" s="131"/>
    </row>
    <row r="3230" spans="1:1" x14ac:dyDescent="0.25">
      <c r="A3230" s="131"/>
    </row>
    <row r="3231" spans="1:1" x14ac:dyDescent="0.25">
      <c r="A3231" s="131"/>
    </row>
    <row r="3232" spans="1:1" x14ac:dyDescent="0.25">
      <c r="A3232" s="131"/>
    </row>
    <row r="3233" spans="1:1" x14ac:dyDescent="0.25">
      <c r="A3233" s="131"/>
    </row>
    <row r="3234" spans="1:1" x14ac:dyDescent="0.25">
      <c r="A3234" s="131"/>
    </row>
    <row r="3235" spans="1:1" x14ac:dyDescent="0.25">
      <c r="A3235" s="131"/>
    </row>
    <row r="3236" spans="1:1" x14ac:dyDescent="0.25">
      <c r="A3236" s="131"/>
    </row>
    <row r="3237" spans="1:1" x14ac:dyDescent="0.25">
      <c r="A3237" s="131"/>
    </row>
    <row r="3238" spans="1:1" x14ac:dyDescent="0.25">
      <c r="A3238" s="131"/>
    </row>
    <row r="3239" spans="1:1" x14ac:dyDescent="0.25">
      <c r="A3239" s="131"/>
    </row>
    <row r="3240" spans="1:1" x14ac:dyDescent="0.25">
      <c r="A3240" s="131"/>
    </row>
    <row r="3241" spans="1:1" x14ac:dyDescent="0.25">
      <c r="A3241" s="131"/>
    </row>
    <row r="3242" spans="1:1" x14ac:dyDescent="0.25">
      <c r="A3242" s="131"/>
    </row>
    <row r="3243" spans="1:1" x14ac:dyDescent="0.25">
      <c r="A3243" s="131"/>
    </row>
    <row r="3244" spans="1:1" x14ac:dyDescent="0.25">
      <c r="A3244" s="131"/>
    </row>
    <row r="3245" spans="1:1" x14ac:dyDescent="0.25">
      <c r="A3245" s="131"/>
    </row>
    <row r="3246" spans="1:1" x14ac:dyDescent="0.25">
      <c r="A3246" s="131"/>
    </row>
    <row r="3247" spans="1:1" x14ac:dyDescent="0.25">
      <c r="A3247" s="131"/>
    </row>
    <row r="3248" spans="1:1" x14ac:dyDescent="0.25">
      <c r="A3248" s="131"/>
    </row>
    <row r="3249" spans="1:1" x14ac:dyDescent="0.25">
      <c r="A3249" s="131"/>
    </row>
    <row r="3250" spans="1:1" x14ac:dyDescent="0.25">
      <c r="A3250" s="131"/>
    </row>
    <row r="3251" spans="1:1" x14ac:dyDescent="0.25">
      <c r="A3251" s="131"/>
    </row>
    <row r="3252" spans="1:1" x14ac:dyDescent="0.25">
      <c r="A3252" s="131"/>
    </row>
    <row r="3253" spans="1:1" x14ac:dyDescent="0.25">
      <c r="A3253" s="131"/>
    </row>
    <row r="3254" spans="1:1" x14ac:dyDescent="0.25">
      <c r="A3254" s="131"/>
    </row>
    <row r="3255" spans="1:1" x14ac:dyDescent="0.25">
      <c r="A3255" s="131"/>
    </row>
    <row r="3256" spans="1:1" x14ac:dyDescent="0.25">
      <c r="A3256" s="131"/>
    </row>
    <row r="3257" spans="1:1" x14ac:dyDescent="0.25">
      <c r="A3257" s="131"/>
    </row>
    <row r="3258" spans="1:1" x14ac:dyDescent="0.25">
      <c r="A3258" s="131"/>
    </row>
    <row r="3259" spans="1:1" x14ac:dyDescent="0.25">
      <c r="A3259" s="131"/>
    </row>
    <row r="3260" spans="1:1" x14ac:dyDescent="0.25">
      <c r="A3260" s="131"/>
    </row>
    <row r="3261" spans="1:1" x14ac:dyDescent="0.25">
      <c r="A3261" s="131"/>
    </row>
    <row r="3262" spans="1:1" x14ac:dyDescent="0.25">
      <c r="A3262" s="131"/>
    </row>
    <row r="3263" spans="1:1" x14ac:dyDescent="0.25">
      <c r="A3263" s="131"/>
    </row>
    <row r="3264" spans="1:1" x14ac:dyDescent="0.25">
      <c r="A3264" s="131"/>
    </row>
    <row r="3265" spans="1:1" x14ac:dyDescent="0.25">
      <c r="A3265" s="131"/>
    </row>
    <row r="3266" spans="1:1" x14ac:dyDescent="0.25">
      <c r="A3266" s="131"/>
    </row>
    <row r="3267" spans="1:1" x14ac:dyDescent="0.25">
      <c r="A3267" s="131"/>
    </row>
    <row r="3268" spans="1:1" x14ac:dyDescent="0.25">
      <c r="A3268" s="131"/>
    </row>
    <row r="3269" spans="1:1" x14ac:dyDescent="0.25">
      <c r="A3269" s="131"/>
    </row>
    <row r="3270" spans="1:1" x14ac:dyDescent="0.25">
      <c r="A3270" s="131"/>
    </row>
    <row r="3271" spans="1:1" x14ac:dyDescent="0.25">
      <c r="A3271" s="131"/>
    </row>
    <row r="3272" spans="1:1" x14ac:dyDescent="0.25">
      <c r="A3272" s="131"/>
    </row>
    <row r="3273" spans="1:1" x14ac:dyDescent="0.25">
      <c r="A3273" s="131"/>
    </row>
    <row r="3274" spans="1:1" x14ac:dyDescent="0.25">
      <c r="A3274" s="131"/>
    </row>
    <row r="3275" spans="1:1" x14ac:dyDescent="0.25">
      <c r="A3275" s="131"/>
    </row>
    <row r="3276" spans="1:1" x14ac:dyDescent="0.25">
      <c r="A3276" s="131"/>
    </row>
    <row r="3277" spans="1:1" x14ac:dyDescent="0.25">
      <c r="A3277" s="131"/>
    </row>
    <row r="3278" spans="1:1" x14ac:dyDescent="0.25">
      <c r="A3278" s="131"/>
    </row>
    <row r="3279" spans="1:1" x14ac:dyDescent="0.25">
      <c r="A3279" s="131"/>
    </row>
    <row r="3280" spans="1:1" x14ac:dyDescent="0.25">
      <c r="A3280" s="131"/>
    </row>
    <row r="3281" spans="1:1" x14ac:dyDescent="0.25">
      <c r="A3281" s="131"/>
    </row>
    <row r="3282" spans="1:1" x14ac:dyDescent="0.25">
      <c r="A3282" s="131"/>
    </row>
    <row r="3283" spans="1:1" x14ac:dyDescent="0.25">
      <c r="A3283" s="131"/>
    </row>
    <row r="3284" spans="1:1" x14ac:dyDescent="0.25">
      <c r="A3284" s="131"/>
    </row>
    <row r="3285" spans="1:1" x14ac:dyDescent="0.25">
      <c r="A3285" s="131"/>
    </row>
    <row r="3286" spans="1:1" x14ac:dyDescent="0.25">
      <c r="A3286" s="131"/>
    </row>
    <row r="3287" spans="1:1" x14ac:dyDescent="0.25">
      <c r="A3287" s="131"/>
    </row>
    <row r="3288" spans="1:1" x14ac:dyDescent="0.25">
      <c r="A3288" s="131"/>
    </row>
    <row r="3289" spans="1:1" x14ac:dyDescent="0.25">
      <c r="A3289" s="131"/>
    </row>
    <row r="3290" spans="1:1" x14ac:dyDescent="0.25">
      <c r="A3290" s="131"/>
    </row>
    <row r="3291" spans="1:1" x14ac:dyDescent="0.25">
      <c r="A3291" s="131"/>
    </row>
    <row r="3292" spans="1:1" x14ac:dyDescent="0.25">
      <c r="A3292" s="131"/>
    </row>
    <row r="3293" spans="1:1" x14ac:dyDescent="0.25">
      <c r="A3293" s="131"/>
    </row>
    <row r="3294" spans="1:1" x14ac:dyDescent="0.25">
      <c r="A3294" s="131"/>
    </row>
    <row r="3295" spans="1:1" x14ac:dyDescent="0.25">
      <c r="A3295" s="131"/>
    </row>
    <row r="3296" spans="1:1" x14ac:dyDescent="0.25">
      <c r="A3296" s="131"/>
    </row>
    <row r="3297" spans="1:1" x14ac:dyDescent="0.25">
      <c r="A3297" s="131"/>
    </row>
    <row r="3298" spans="1:1" x14ac:dyDescent="0.25">
      <c r="A3298" s="131"/>
    </row>
    <row r="3299" spans="1:1" x14ac:dyDescent="0.25">
      <c r="A3299" s="131"/>
    </row>
    <row r="3300" spans="1:1" x14ac:dyDescent="0.25">
      <c r="A3300" s="131"/>
    </row>
    <row r="3301" spans="1:1" x14ac:dyDescent="0.25">
      <c r="A3301" s="131"/>
    </row>
    <row r="3302" spans="1:1" x14ac:dyDescent="0.25">
      <c r="A3302" s="131"/>
    </row>
    <row r="3303" spans="1:1" x14ac:dyDescent="0.25">
      <c r="A3303" s="131"/>
    </row>
    <row r="3304" spans="1:1" x14ac:dyDescent="0.25">
      <c r="A3304" s="131"/>
    </row>
    <row r="3305" spans="1:1" x14ac:dyDescent="0.25">
      <c r="A3305" s="131"/>
    </row>
    <row r="3306" spans="1:1" x14ac:dyDescent="0.25">
      <c r="A3306" s="131"/>
    </row>
    <row r="3307" spans="1:1" x14ac:dyDescent="0.25">
      <c r="A3307" s="131"/>
    </row>
    <row r="3308" spans="1:1" x14ac:dyDescent="0.25">
      <c r="A3308" s="131"/>
    </row>
    <row r="3309" spans="1:1" x14ac:dyDescent="0.25">
      <c r="A3309" s="131"/>
    </row>
    <row r="3310" spans="1:1" x14ac:dyDescent="0.25">
      <c r="A3310" s="131"/>
    </row>
    <row r="3311" spans="1:1" x14ac:dyDescent="0.25">
      <c r="A3311" s="131"/>
    </row>
    <row r="3312" spans="1:1" x14ac:dyDescent="0.25">
      <c r="A3312" s="131"/>
    </row>
    <row r="3313" spans="1:1" x14ac:dyDescent="0.25">
      <c r="A3313" s="131"/>
    </row>
    <row r="3314" spans="1:1" x14ac:dyDescent="0.25">
      <c r="A3314" s="131"/>
    </row>
    <row r="3315" spans="1:1" x14ac:dyDescent="0.25">
      <c r="A3315" s="131"/>
    </row>
    <row r="3316" spans="1:1" x14ac:dyDescent="0.25">
      <c r="A3316" s="131"/>
    </row>
    <row r="3317" spans="1:1" x14ac:dyDescent="0.25">
      <c r="A3317" s="131"/>
    </row>
    <row r="3318" spans="1:1" x14ac:dyDescent="0.25">
      <c r="A3318" s="131"/>
    </row>
    <row r="3319" spans="1:1" x14ac:dyDescent="0.25">
      <c r="A3319" s="131"/>
    </row>
    <row r="3320" spans="1:1" x14ac:dyDescent="0.25">
      <c r="A3320" s="131"/>
    </row>
    <row r="3321" spans="1:1" x14ac:dyDescent="0.25">
      <c r="A3321" s="131"/>
    </row>
    <row r="3322" spans="1:1" x14ac:dyDescent="0.25">
      <c r="A3322" s="131"/>
    </row>
    <row r="3323" spans="1:1" x14ac:dyDescent="0.25">
      <c r="A3323" s="131"/>
    </row>
    <row r="3324" spans="1:1" x14ac:dyDescent="0.25">
      <c r="A3324" s="131"/>
    </row>
    <row r="3325" spans="1:1" x14ac:dyDescent="0.25">
      <c r="A3325" s="131"/>
    </row>
    <row r="3326" spans="1:1" x14ac:dyDescent="0.25">
      <c r="A3326" s="131"/>
    </row>
    <row r="3327" spans="1:1" x14ac:dyDescent="0.25">
      <c r="A3327" s="131"/>
    </row>
    <row r="3328" spans="1:1" x14ac:dyDescent="0.25">
      <c r="A3328" s="131"/>
    </row>
    <row r="3329" spans="1:1" x14ac:dyDescent="0.25">
      <c r="A3329" s="131"/>
    </row>
    <row r="3330" spans="1:1" x14ac:dyDescent="0.25">
      <c r="A3330" s="131"/>
    </row>
    <row r="3331" spans="1:1" x14ac:dyDescent="0.25">
      <c r="A3331" s="131"/>
    </row>
    <row r="3332" spans="1:1" x14ac:dyDescent="0.25">
      <c r="A3332" s="131"/>
    </row>
    <row r="3333" spans="1:1" x14ac:dyDescent="0.25">
      <c r="A3333" s="131"/>
    </row>
    <row r="3334" spans="1:1" x14ac:dyDescent="0.25">
      <c r="A3334" s="131"/>
    </row>
    <row r="3335" spans="1:1" x14ac:dyDescent="0.25">
      <c r="A3335" s="131"/>
    </row>
    <row r="3336" spans="1:1" x14ac:dyDescent="0.25">
      <c r="A3336" s="131"/>
    </row>
    <row r="3337" spans="1:1" x14ac:dyDescent="0.25">
      <c r="A3337" s="131"/>
    </row>
    <row r="3338" spans="1:1" x14ac:dyDescent="0.25">
      <c r="A3338" s="131"/>
    </row>
    <row r="3339" spans="1:1" x14ac:dyDescent="0.25">
      <c r="A3339" s="131"/>
    </row>
    <row r="3340" spans="1:1" x14ac:dyDescent="0.25">
      <c r="A3340" s="131"/>
    </row>
    <row r="3341" spans="1:1" x14ac:dyDescent="0.25">
      <c r="A3341" s="131"/>
    </row>
    <row r="3342" spans="1:1" x14ac:dyDescent="0.25">
      <c r="A3342" s="131"/>
    </row>
    <row r="3343" spans="1:1" x14ac:dyDescent="0.25">
      <c r="A3343" s="131"/>
    </row>
    <row r="3344" spans="1:1" x14ac:dyDescent="0.25">
      <c r="A3344" s="131"/>
    </row>
    <row r="3345" spans="1:1" x14ac:dyDescent="0.25">
      <c r="A3345" s="131"/>
    </row>
    <row r="3346" spans="1:1" x14ac:dyDescent="0.25">
      <c r="A3346" s="131"/>
    </row>
    <row r="3347" spans="1:1" x14ac:dyDescent="0.25">
      <c r="A3347" s="131"/>
    </row>
    <row r="3348" spans="1:1" x14ac:dyDescent="0.25">
      <c r="A3348" s="131"/>
    </row>
    <row r="3349" spans="1:1" x14ac:dyDescent="0.25">
      <c r="A3349" s="131"/>
    </row>
    <row r="3350" spans="1:1" x14ac:dyDescent="0.25">
      <c r="A3350" s="131"/>
    </row>
    <row r="3351" spans="1:1" x14ac:dyDescent="0.25">
      <c r="A3351" s="131"/>
    </row>
    <row r="3352" spans="1:1" x14ac:dyDescent="0.25">
      <c r="A3352" s="131"/>
    </row>
    <row r="3353" spans="1:1" x14ac:dyDescent="0.25">
      <c r="A3353" s="131"/>
    </row>
    <row r="3354" spans="1:1" x14ac:dyDescent="0.25">
      <c r="A3354" s="131"/>
    </row>
    <row r="3355" spans="1:1" x14ac:dyDescent="0.25">
      <c r="A3355" s="131"/>
    </row>
    <row r="3356" spans="1:1" x14ac:dyDescent="0.25">
      <c r="A3356" s="131"/>
    </row>
    <row r="3357" spans="1:1" x14ac:dyDescent="0.25">
      <c r="A3357" s="131"/>
    </row>
    <row r="3358" spans="1:1" x14ac:dyDescent="0.25">
      <c r="A3358" s="131"/>
    </row>
    <row r="3359" spans="1:1" x14ac:dyDescent="0.25">
      <c r="A3359" s="131"/>
    </row>
    <row r="3360" spans="1:1" x14ac:dyDescent="0.25">
      <c r="A3360" s="131"/>
    </row>
    <row r="3361" spans="1:1" x14ac:dyDescent="0.25">
      <c r="A3361" s="131"/>
    </row>
    <row r="3362" spans="1:1" x14ac:dyDescent="0.25">
      <c r="A3362" s="131"/>
    </row>
    <row r="3363" spans="1:1" x14ac:dyDescent="0.25">
      <c r="A3363" s="131"/>
    </row>
    <row r="3364" spans="1:1" x14ac:dyDescent="0.25">
      <c r="A3364" s="131"/>
    </row>
    <row r="3365" spans="1:1" x14ac:dyDescent="0.25">
      <c r="A3365" s="131"/>
    </row>
    <row r="3366" spans="1:1" x14ac:dyDescent="0.25">
      <c r="A3366" s="131"/>
    </row>
    <row r="3367" spans="1:1" x14ac:dyDescent="0.25">
      <c r="A3367" s="131"/>
    </row>
    <row r="3368" spans="1:1" x14ac:dyDescent="0.25">
      <c r="A3368" s="131"/>
    </row>
    <row r="3369" spans="1:1" x14ac:dyDescent="0.25">
      <c r="A3369" s="131"/>
    </row>
    <row r="3370" spans="1:1" x14ac:dyDescent="0.25">
      <c r="A3370" s="131"/>
    </row>
    <row r="3371" spans="1:1" x14ac:dyDescent="0.25">
      <c r="A3371" s="131"/>
    </row>
    <row r="3372" spans="1:1" x14ac:dyDescent="0.25">
      <c r="A3372" s="131"/>
    </row>
    <row r="3373" spans="1:1" x14ac:dyDescent="0.25">
      <c r="A3373" s="131"/>
    </row>
    <row r="3374" spans="1:1" x14ac:dyDescent="0.25">
      <c r="A3374" s="131"/>
    </row>
    <row r="3375" spans="1:1" x14ac:dyDescent="0.25">
      <c r="A3375" s="131"/>
    </row>
    <row r="3376" spans="1:1" x14ac:dyDescent="0.25">
      <c r="A3376" s="131"/>
    </row>
    <row r="3377" spans="1:1" x14ac:dyDescent="0.25">
      <c r="A3377" s="131"/>
    </row>
    <row r="3378" spans="1:1" x14ac:dyDescent="0.25">
      <c r="A3378" s="131"/>
    </row>
    <row r="3379" spans="1:1" x14ac:dyDescent="0.25">
      <c r="A3379" s="131"/>
    </row>
    <row r="3380" spans="1:1" x14ac:dyDescent="0.25">
      <c r="A3380" s="131"/>
    </row>
    <row r="3381" spans="1:1" x14ac:dyDescent="0.25">
      <c r="A3381" s="131"/>
    </row>
    <row r="3382" spans="1:1" x14ac:dyDescent="0.25">
      <c r="A3382" s="131"/>
    </row>
    <row r="3383" spans="1:1" x14ac:dyDescent="0.25">
      <c r="A3383" s="131"/>
    </row>
    <row r="3384" spans="1:1" x14ac:dyDescent="0.25">
      <c r="A3384" s="131"/>
    </row>
    <row r="3385" spans="1:1" x14ac:dyDescent="0.25">
      <c r="A3385" s="131"/>
    </row>
    <row r="3386" spans="1:1" x14ac:dyDescent="0.25">
      <c r="A3386" s="131"/>
    </row>
    <row r="3387" spans="1:1" x14ac:dyDescent="0.25">
      <c r="A3387" s="131"/>
    </row>
    <row r="3388" spans="1:1" x14ac:dyDescent="0.25">
      <c r="A3388" s="131"/>
    </row>
    <row r="3389" spans="1:1" x14ac:dyDescent="0.25">
      <c r="A3389" s="131"/>
    </row>
    <row r="3390" spans="1:1" x14ac:dyDescent="0.25">
      <c r="A3390" s="131"/>
    </row>
    <row r="3391" spans="1:1" x14ac:dyDescent="0.25">
      <c r="A3391" s="131"/>
    </row>
    <row r="3392" spans="1:1" x14ac:dyDescent="0.25">
      <c r="A3392" s="131"/>
    </row>
    <row r="3393" spans="1:1" x14ac:dyDescent="0.25">
      <c r="A3393" s="131"/>
    </row>
    <row r="3394" spans="1:1" x14ac:dyDescent="0.25">
      <c r="A3394" s="131"/>
    </row>
    <row r="3395" spans="1:1" x14ac:dyDescent="0.25">
      <c r="A3395" s="131"/>
    </row>
    <row r="3396" spans="1:1" x14ac:dyDescent="0.25">
      <c r="A3396" s="131"/>
    </row>
    <row r="3397" spans="1:1" x14ac:dyDescent="0.25">
      <c r="A3397" s="131"/>
    </row>
    <row r="3398" spans="1:1" x14ac:dyDescent="0.25">
      <c r="A3398" s="131"/>
    </row>
    <row r="3399" spans="1:1" x14ac:dyDescent="0.25">
      <c r="A3399" s="131"/>
    </row>
    <row r="3400" spans="1:1" x14ac:dyDescent="0.25">
      <c r="A3400" s="131"/>
    </row>
    <row r="3401" spans="1:1" x14ac:dyDescent="0.25">
      <c r="A3401" s="131"/>
    </row>
    <row r="3402" spans="1:1" x14ac:dyDescent="0.25">
      <c r="A3402" s="131"/>
    </row>
    <row r="3403" spans="1:1" x14ac:dyDescent="0.25">
      <c r="A3403" s="131"/>
    </row>
    <row r="3404" spans="1:1" x14ac:dyDescent="0.25">
      <c r="A3404" s="131"/>
    </row>
    <row r="3405" spans="1:1" x14ac:dyDescent="0.25">
      <c r="A3405" s="131"/>
    </row>
    <row r="3406" spans="1:1" x14ac:dyDescent="0.25">
      <c r="A3406" s="131"/>
    </row>
    <row r="3407" spans="1:1" x14ac:dyDescent="0.25">
      <c r="A3407" s="131"/>
    </row>
    <row r="3408" spans="1:1" x14ac:dyDescent="0.25">
      <c r="A3408" s="131"/>
    </row>
    <row r="3409" spans="1:1" x14ac:dyDescent="0.25">
      <c r="A3409" s="131"/>
    </row>
    <row r="3410" spans="1:1" x14ac:dyDescent="0.25">
      <c r="A3410" s="131"/>
    </row>
    <row r="3411" spans="1:1" x14ac:dyDescent="0.25">
      <c r="A3411" s="131"/>
    </row>
    <row r="3412" spans="1:1" x14ac:dyDescent="0.25">
      <c r="A3412" s="131"/>
    </row>
    <row r="3413" spans="1:1" x14ac:dyDescent="0.25">
      <c r="A3413" s="131"/>
    </row>
    <row r="3414" spans="1:1" x14ac:dyDescent="0.25">
      <c r="A3414" s="131"/>
    </row>
    <row r="3415" spans="1:1" x14ac:dyDescent="0.25">
      <c r="A3415" s="131"/>
    </row>
    <row r="3416" spans="1:1" x14ac:dyDescent="0.25">
      <c r="A3416" s="131"/>
    </row>
    <row r="3417" spans="1:1" x14ac:dyDescent="0.25">
      <c r="A3417" s="131"/>
    </row>
    <row r="3418" spans="1:1" x14ac:dyDescent="0.25">
      <c r="A3418" s="131"/>
    </row>
    <row r="3419" spans="1:1" x14ac:dyDescent="0.25">
      <c r="A3419" s="131"/>
    </row>
    <row r="3420" spans="1:1" x14ac:dyDescent="0.25">
      <c r="A3420" s="131"/>
    </row>
    <row r="3421" spans="1:1" x14ac:dyDescent="0.25">
      <c r="A3421" s="131"/>
    </row>
    <row r="3422" spans="1:1" x14ac:dyDescent="0.25">
      <c r="A3422" s="131"/>
    </row>
    <row r="3423" spans="1:1" x14ac:dyDescent="0.25">
      <c r="A3423" s="131"/>
    </row>
    <row r="3424" spans="1:1" x14ac:dyDescent="0.25">
      <c r="A3424" s="131"/>
    </row>
    <row r="3425" spans="1:1" x14ac:dyDescent="0.25">
      <c r="A3425" s="131"/>
    </row>
    <row r="3426" spans="1:1" x14ac:dyDescent="0.25">
      <c r="A3426" s="131"/>
    </row>
    <row r="3427" spans="1:1" x14ac:dyDescent="0.25">
      <c r="A3427" s="131"/>
    </row>
    <row r="3428" spans="1:1" x14ac:dyDescent="0.25">
      <c r="A3428" s="131"/>
    </row>
    <row r="3429" spans="1:1" x14ac:dyDescent="0.25">
      <c r="A3429" s="131"/>
    </row>
    <row r="3430" spans="1:1" x14ac:dyDescent="0.25">
      <c r="A3430" s="131"/>
    </row>
    <row r="3431" spans="1:1" x14ac:dyDescent="0.25">
      <c r="A3431" s="131"/>
    </row>
    <row r="3432" spans="1:1" x14ac:dyDescent="0.25">
      <c r="A3432" s="131"/>
    </row>
    <row r="3433" spans="1:1" x14ac:dyDescent="0.25">
      <c r="A3433" s="131"/>
    </row>
    <row r="3434" spans="1:1" x14ac:dyDescent="0.25">
      <c r="A3434" s="131"/>
    </row>
    <row r="3435" spans="1:1" x14ac:dyDescent="0.25">
      <c r="A3435" s="131"/>
    </row>
    <row r="3436" spans="1:1" x14ac:dyDescent="0.25">
      <c r="A3436" s="131"/>
    </row>
    <row r="3437" spans="1:1" x14ac:dyDescent="0.25">
      <c r="A3437" s="131"/>
    </row>
    <row r="3438" spans="1:1" x14ac:dyDescent="0.25">
      <c r="A3438" s="131"/>
    </row>
    <row r="3439" spans="1:1" x14ac:dyDescent="0.25">
      <c r="A3439" s="131"/>
    </row>
    <row r="3440" spans="1:1" x14ac:dyDescent="0.25">
      <c r="A3440" s="131"/>
    </row>
    <row r="3441" spans="1:1" x14ac:dyDescent="0.25">
      <c r="A3441" s="131"/>
    </row>
    <row r="3442" spans="1:1" x14ac:dyDescent="0.25">
      <c r="A3442" s="131"/>
    </row>
    <row r="3443" spans="1:1" x14ac:dyDescent="0.25">
      <c r="A3443" s="131"/>
    </row>
    <row r="3444" spans="1:1" x14ac:dyDescent="0.25">
      <c r="A3444" s="131"/>
    </row>
    <row r="3445" spans="1:1" x14ac:dyDescent="0.25">
      <c r="A3445" s="131"/>
    </row>
    <row r="3446" spans="1:1" x14ac:dyDescent="0.25">
      <c r="A3446" s="131"/>
    </row>
    <row r="3447" spans="1:1" x14ac:dyDescent="0.25">
      <c r="A3447" s="131"/>
    </row>
    <row r="3448" spans="1:1" x14ac:dyDescent="0.25">
      <c r="A3448" s="131"/>
    </row>
    <row r="3449" spans="1:1" x14ac:dyDescent="0.25">
      <c r="A3449" s="131"/>
    </row>
    <row r="3450" spans="1:1" x14ac:dyDescent="0.25">
      <c r="A3450" s="131"/>
    </row>
    <row r="3451" spans="1:1" x14ac:dyDescent="0.25">
      <c r="A3451" s="131"/>
    </row>
    <row r="3452" spans="1:1" x14ac:dyDescent="0.25">
      <c r="A3452" s="131"/>
    </row>
    <row r="3453" spans="1:1" x14ac:dyDescent="0.25">
      <c r="A3453" s="131"/>
    </row>
    <row r="3454" spans="1:1" x14ac:dyDescent="0.25">
      <c r="A3454" s="131"/>
    </row>
    <row r="3455" spans="1:1" x14ac:dyDescent="0.25">
      <c r="A3455" s="131"/>
    </row>
    <row r="3456" spans="1:1" x14ac:dyDescent="0.25">
      <c r="A3456" s="131"/>
    </row>
    <row r="3457" spans="1:1" x14ac:dyDescent="0.25">
      <c r="A3457" s="131"/>
    </row>
    <row r="3458" spans="1:1" x14ac:dyDescent="0.25">
      <c r="A3458" s="131"/>
    </row>
    <row r="3459" spans="1:1" x14ac:dyDescent="0.25">
      <c r="A3459" s="131"/>
    </row>
    <row r="3460" spans="1:1" x14ac:dyDescent="0.25">
      <c r="A3460" s="131"/>
    </row>
    <row r="3461" spans="1:1" x14ac:dyDescent="0.25">
      <c r="A3461" s="131"/>
    </row>
    <row r="3462" spans="1:1" x14ac:dyDescent="0.25">
      <c r="A3462" s="131"/>
    </row>
    <row r="3463" spans="1:1" x14ac:dyDescent="0.25">
      <c r="A3463" s="131"/>
    </row>
    <row r="3464" spans="1:1" x14ac:dyDescent="0.25">
      <c r="A3464" s="131"/>
    </row>
    <row r="3465" spans="1:1" x14ac:dyDescent="0.25">
      <c r="A3465" s="131"/>
    </row>
    <row r="3466" spans="1:1" x14ac:dyDescent="0.25">
      <c r="A3466" s="131"/>
    </row>
    <row r="3467" spans="1:1" x14ac:dyDescent="0.25">
      <c r="A3467" s="131"/>
    </row>
    <row r="3468" spans="1:1" x14ac:dyDescent="0.25">
      <c r="A3468" s="131"/>
    </row>
    <row r="3469" spans="1:1" x14ac:dyDescent="0.25">
      <c r="A3469" s="131"/>
    </row>
    <row r="3470" spans="1:1" x14ac:dyDescent="0.25">
      <c r="A3470" s="131"/>
    </row>
    <row r="3471" spans="1:1" x14ac:dyDescent="0.25">
      <c r="A3471" s="131"/>
    </row>
    <row r="3472" spans="1:1" x14ac:dyDescent="0.25">
      <c r="A3472" s="131"/>
    </row>
    <row r="3473" spans="1:1" x14ac:dyDescent="0.25">
      <c r="A3473" s="131"/>
    </row>
    <row r="3474" spans="1:1" x14ac:dyDescent="0.25">
      <c r="A3474" s="131"/>
    </row>
    <row r="3475" spans="1:1" x14ac:dyDescent="0.25">
      <c r="A3475" s="131"/>
    </row>
    <row r="3476" spans="1:1" x14ac:dyDescent="0.25">
      <c r="A3476" s="131"/>
    </row>
    <row r="3477" spans="1:1" x14ac:dyDescent="0.25">
      <c r="A3477" s="131"/>
    </row>
    <row r="3478" spans="1:1" x14ac:dyDescent="0.25">
      <c r="A3478" s="131"/>
    </row>
    <row r="3479" spans="1:1" x14ac:dyDescent="0.25">
      <c r="A3479" s="131"/>
    </row>
    <row r="3480" spans="1:1" x14ac:dyDescent="0.25">
      <c r="A3480" s="131"/>
    </row>
    <row r="3481" spans="1:1" x14ac:dyDescent="0.25">
      <c r="A3481" s="131"/>
    </row>
    <row r="3482" spans="1:1" x14ac:dyDescent="0.25">
      <c r="A3482" s="131"/>
    </row>
    <row r="3483" spans="1:1" x14ac:dyDescent="0.25">
      <c r="A3483" s="131"/>
    </row>
    <row r="3484" spans="1:1" x14ac:dyDescent="0.25">
      <c r="A3484" s="131"/>
    </row>
    <row r="3485" spans="1:1" x14ac:dyDescent="0.25">
      <c r="A3485" s="131"/>
    </row>
    <row r="3486" spans="1:1" x14ac:dyDescent="0.25">
      <c r="A3486" s="131"/>
    </row>
    <row r="3487" spans="1:1" x14ac:dyDescent="0.25">
      <c r="A3487" s="131"/>
    </row>
    <row r="3488" spans="1:1" x14ac:dyDescent="0.25">
      <c r="A3488" s="131"/>
    </row>
    <row r="3489" spans="1:1" x14ac:dyDescent="0.25">
      <c r="A3489" s="131"/>
    </row>
    <row r="3490" spans="1:1" x14ac:dyDescent="0.25">
      <c r="A3490" s="131"/>
    </row>
    <row r="3491" spans="1:1" x14ac:dyDescent="0.25">
      <c r="A3491" s="131"/>
    </row>
    <row r="3492" spans="1:1" x14ac:dyDescent="0.25">
      <c r="A3492" s="131"/>
    </row>
    <row r="3493" spans="1:1" x14ac:dyDescent="0.25">
      <c r="A3493" s="131"/>
    </row>
    <row r="3494" spans="1:1" x14ac:dyDescent="0.25">
      <c r="A3494" s="131"/>
    </row>
    <row r="3495" spans="1:1" x14ac:dyDescent="0.25">
      <c r="A3495" s="131"/>
    </row>
    <row r="3496" spans="1:1" x14ac:dyDescent="0.25">
      <c r="A3496" s="131"/>
    </row>
    <row r="3497" spans="1:1" x14ac:dyDescent="0.25">
      <c r="A3497" s="131"/>
    </row>
    <row r="3498" spans="1:1" x14ac:dyDescent="0.25">
      <c r="A3498" s="131"/>
    </row>
    <row r="3499" spans="1:1" x14ac:dyDescent="0.25">
      <c r="A3499" s="131"/>
    </row>
    <row r="3500" spans="1:1" x14ac:dyDescent="0.25">
      <c r="A3500" s="131"/>
    </row>
    <row r="3501" spans="1:1" x14ac:dyDescent="0.25">
      <c r="A3501" s="131"/>
    </row>
    <row r="3502" spans="1:1" x14ac:dyDescent="0.25">
      <c r="A3502" s="131"/>
    </row>
    <row r="3503" spans="1:1" x14ac:dyDescent="0.25">
      <c r="A3503" s="131"/>
    </row>
    <row r="3504" spans="1:1" x14ac:dyDescent="0.25">
      <c r="A3504" s="131"/>
    </row>
    <row r="3505" spans="1:1" x14ac:dyDescent="0.25">
      <c r="A3505" s="131"/>
    </row>
    <row r="3506" spans="1:1" x14ac:dyDescent="0.25">
      <c r="A3506" s="131"/>
    </row>
    <row r="3507" spans="1:1" x14ac:dyDescent="0.25">
      <c r="A3507" s="131"/>
    </row>
    <row r="3508" spans="1:1" x14ac:dyDescent="0.25">
      <c r="A3508" s="131"/>
    </row>
    <row r="3509" spans="1:1" x14ac:dyDescent="0.25">
      <c r="A3509" s="131"/>
    </row>
    <row r="3510" spans="1:1" x14ac:dyDescent="0.25">
      <c r="A3510" s="131"/>
    </row>
    <row r="3511" spans="1:1" x14ac:dyDescent="0.25">
      <c r="A3511" s="131"/>
    </row>
    <row r="3512" spans="1:1" x14ac:dyDescent="0.25">
      <c r="A3512" s="131"/>
    </row>
    <row r="3513" spans="1:1" x14ac:dyDescent="0.25">
      <c r="A3513" s="131"/>
    </row>
    <row r="3514" spans="1:1" x14ac:dyDescent="0.25">
      <c r="A3514" s="131"/>
    </row>
    <row r="3515" spans="1:1" x14ac:dyDescent="0.25">
      <c r="A3515" s="131"/>
    </row>
    <row r="3516" spans="1:1" x14ac:dyDescent="0.25">
      <c r="A3516" s="131"/>
    </row>
    <row r="3517" spans="1:1" x14ac:dyDescent="0.25">
      <c r="A3517" s="131"/>
    </row>
    <row r="3518" spans="1:1" x14ac:dyDescent="0.25">
      <c r="A3518" s="131"/>
    </row>
    <row r="3519" spans="1:1" x14ac:dyDescent="0.25">
      <c r="A3519" s="131"/>
    </row>
    <row r="3520" spans="1:1" x14ac:dyDescent="0.25">
      <c r="A3520" s="131"/>
    </row>
    <row r="3521" spans="1:1" x14ac:dyDescent="0.25">
      <c r="A3521" s="131"/>
    </row>
    <row r="3522" spans="1:1" x14ac:dyDescent="0.25">
      <c r="A3522" s="131"/>
    </row>
    <row r="3523" spans="1:1" x14ac:dyDescent="0.25">
      <c r="A3523" s="131"/>
    </row>
    <row r="3524" spans="1:1" x14ac:dyDescent="0.25">
      <c r="A3524" s="131"/>
    </row>
    <row r="3525" spans="1:1" x14ac:dyDescent="0.25">
      <c r="A3525" s="131"/>
    </row>
    <row r="3526" spans="1:1" x14ac:dyDescent="0.25">
      <c r="A3526" s="131"/>
    </row>
    <row r="3527" spans="1:1" x14ac:dyDescent="0.25">
      <c r="A3527" s="131"/>
    </row>
    <row r="3528" spans="1:1" x14ac:dyDescent="0.25">
      <c r="A3528" s="131"/>
    </row>
    <row r="3529" spans="1:1" x14ac:dyDescent="0.25">
      <c r="A3529" s="131"/>
    </row>
    <row r="3530" spans="1:1" x14ac:dyDescent="0.25">
      <c r="A3530" s="131"/>
    </row>
    <row r="3531" spans="1:1" x14ac:dyDescent="0.25">
      <c r="A3531" s="131"/>
    </row>
    <row r="3532" spans="1:1" x14ac:dyDescent="0.25">
      <c r="A3532" s="131"/>
    </row>
    <row r="3533" spans="1:1" x14ac:dyDescent="0.25">
      <c r="A3533" s="131"/>
    </row>
    <row r="3534" spans="1:1" x14ac:dyDescent="0.25">
      <c r="A3534" s="131"/>
    </row>
    <row r="3535" spans="1:1" x14ac:dyDescent="0.25">
      <c r="A3535" s="131"/>
    </row>
    <row r="3536" spans="1:1" x14ac:dyDescent="0.25">
      <c r="A3536" s="131"/>
    </row>
    <row r="3537" spans="1:1" x14ac:dyDescent="0.25">
      <c r="A3537" s="131"/>
    </row>
    <row r="3538" spans="1:1" x14ac:dyDescent="0.25">
      <c r="A3538" s="131"/>
    </row>
    <row r="3539" spans="1:1" x14ac:dyDescent="0.25">
      <c r="A3539" s="131"/>
    </row>
    <row r="3540" spans="1:1" x14ac:dyDescent="0.25">
      <c r="A3540" s="131"/>
    </row>
    <row r="3541" spans="1:1" x14ac:dyDescent="0.25">
      <c r="A3541" s="131"/>
    </row>
    <row r="3542" spans="1:1" x14ac:dyDescent="0.25">
      <c r="A3542" s="131"/>
    </row>
    <row r="3543" spans="1:1" x14ac:dyDescent="0.25">
      <c r="A3543" s="131"/>
    </row>
    <row r="3544" spans="1:1" x14ac:dyDescent="0.25">
      <c r="A3544" s="131"/>
    </row>
    <row r="3545" spans="1:1" x14ac:dyDescent="0.25">
      <c r="A3545" s="131"/>
    </row>
    <row r="3546" spans="1:1" x14ac:dyDescent="0.25">
      <c r="A3546" s="131"/>
    </row>
    <row r="3547" spans="1:1" x14ac:dyDescent="0.25">
      <c r="A3547" s="131"/>
    </row>
    <row r="3548" spans="1:1" x14ac:dyDescent="0.25">
      <c r="A3548" s="131"/>
    </row>
    <row r="3549" spans="1:1" x14ac:dyDescent="0.25">
      <c r="A3549" s="131"/>
    </row>
    <row r="3550" spans="1:1" x14ac:dyDescent="0.25">
      <c r="A3550" s="131"/>
    </row>
    <row r="3551" spans="1:1" x14ac:dyDescent="0.25">
      <c r="A3551" s="131"/>
    </row>
    <row r="3552" spans="1:1" x14ac:dyDescent="0.25">
      <c r="A3552" s="131"/>
    </row>
    <row r="3553" spans="1:1" x14ac:dyDescent="0.25">
      <c r="A3553" s="131"/>
    </row>
    <row r="3554" spans="1:1" x14ac:dyDescent="0.25">
      <c r="A3554" s="131"/>
    </row>
    <row r="3555" spans="1:1" x14ac:dyDescent="0.25">
      <c r="A3555" s="131"/>
    </row>
    <row r="3556" spans="1:1" x14ac:dyDescent="0.25">
      <c r="A3556" s="131"/>
    </row>
    <row r="3557" spans="1:1" x14ac:dyDescent="0.25">
      <c r="A3557" s="131"/>
    </row>
    <row r="3558" spans="1:1" x14ac:dyDescent="0.25">
      <c r="A3558" s="131"/>
    </row>
    <row r="3559" spans="1:1" x14ac:dyDescent="0.25">
      <c r="A3559" s="131"/>
    </row>
    <row r="3560" spans="1:1" x14ac:dyDescent="0.25">
      <c r="A3560" s="131"/>
    </row>
    <row r="3561" spans="1:1" x14ac:dyDescent="0.25">
      <c r="A3561" s="131"/>
    </row>
    <row r="3562" spans="1:1" x14ac:dyDescent="0.25">
      <c r="A3562" s="131"/>
    </row>
    <row r="3563" spans="1:1" x14ac:dyDescent="0.25">
      <c r="A3563" s="131"/>
    </row>
    <row r="3564" spans="1:1" x14ac:dyDescent="0.25">
      <c r="A3564" s="131"/>
    </row>
    <row r="3565" spans="1:1" x14ac:dyDescent="0.25">
      <c r="A3565" s="131"/>
    </row>
    <row r="3566" spans="1:1" x14ac:dyDescent="0.25">
      <c r="A3566" s="131"/>
    </row>
    <row r="3567" spans="1:1" x14ac:dyDescent="0.25">
      <c r="A3567" s="131"/>
    </row>
    <row r="3568" spans="1:1" x14ac:dyDescent="0.25">
      <c r="A3568" s="131"/>
    </row>
    <row r="3569" spans="1:1" x14ac:dyDescent="0.25">
      <c r="A3569" s="131"/>
    </row>
    <row r="3570" spans="1:1" x14ac:dyDescent="0.25">
      <c r="A3570" s="131"/>
    </row>
    <row r="3571" spans="1:1" x14ac:dyDescent="0.25">
      <c r="A3571" s="131"/>
    </row>
    <row r="3572" spans="1:1" x14ac:dyDescent="0.25">
      <c r="A3572" s="131"/>
    </row>
    <row r="3573" spans="1:1" x14ac:dyDescent="0.25">
      <c r="A3573" s="131"/>
    </row>
    <row r="3574" spans="1:1" x14ac:dyDescent="0.25">
      <c r="A3574" s="131"/>
    </row>
    <row r="3575" spans="1:1" x14ac:dyDescent="0.25">
      <c r="A3575" s="131"/>
    </row>
    <row r="3576" spans="1:1" x14ac:dyDescent="0.25">
      <c r="A3576" s="131"/>
    </row>
    <row r="3577" spans="1:1" x14ac:dyDescent="0.25">
      <c r="A3577" s="131"/>
    </row>
    <row r="3578" spans="1:1" x14ac:dyDescent="0.25">
      <c r="A3578" s="131"/>
    </row>
    <row r="3579" spans="1:1" x14ac:dyDescent="0.25">
      <c r="A3579" s="131"/>
    </row>
    <row r="3580" spans="1:1" x14ac:dyDescent="0.25">
      <c r="A3580" s="131"/>
    </row>
    <row r="3581" spans="1:1" x14ac:dyDescent="0.25">
      <c r="A3581" s="131"/>
    </row>
    <row r="3582" spans="1:1" x14ac:dyDescent="0.25">
      <c r="A3582" s="131"/>
    </row>
    <row r="3583" spans="1:1" x14ac:dyDescent="0.25">
      <c r="A3583" s="131"/>
    </row>
    <row r="3584" spans="1:1" x14ac:dyDescent="0.25">
      <c r="A3584" s="131"/>
    </row>
    <row r="3585" spans="1:1" x14ac:dyDescent="0.25">
      <c r="A3585" s="131"/>
    </row>
    <row r="3586" spans="1:1" x14ac:dyDescent="0.25">
      <c r="A3586" s="131"/>
    </row>
    <row r="3587" spans="1:1" x14ac:dyDescent="0.25">
      <c r="A3587" s="131"/>
    </row>
    <row r="3588" spans="1:1" x14ac:dyDescent="0.25">
      <c r="A3588" s="131"/>
    </row>
    <row r="3589" spans="1:1" x14ac:dyDescent="0.25">
      <c r="A3589" s="131"/>
    </row>
    <row r="3590" spans="1:1" x14ac:dyDescent="0.25">
      <c r="A3590" s="131"/>
    </row>
    <row r="3591" spans="1:1" x14ac:dyDescent="0.25">
      <c r="A3591" s="131"/>
    </row>
    <row r="3592" spans="1:1" x14ac:dyDescent="0.25">
      <c r="A3592" s="131"/>
    </row>
    <row r="3593" spans="1:1" x14ac:dyDescent="0.25">
      <c r="A3593" s="131"/>
    </row>
    <row r="3594" spans="1:1" x14ac:dyDescent="0.25">
      <c r="A3594" s="131"/>
    </row>
    <row r="3595" spans="1:1" x14ac:dyDescent="0.25">
      <c r="A3595" s="131"/>
    </row>
    <row r="3596" spans="1:1" x14ac:dyDescent="0.25">
      <c r="A3596" s="131"/>
    </row>
    <row r="3597" spans="1:1" x14ac:dyDescent="0.25">
      <c r="A3597" s="131"/>
    </row>
    <row r="3598" spans="1:1" x14ac:dyDescent="0.25">
      <c r="A3598" s="131"/>
    </row>
    <row r="3599" spans="1:1" x14ac:dyDescent="0.25">
      <c r="A3599" s="131"/>
    </row>
    <row r="3600" spans="1:1" x14ac:dyDescent="0.25">
      <c r="A3600" s="131"/>
    </row>
    <row r="3601" spans="1:1" x14ac:dyDescent="0.25">
      <c r="A3601" s="131"/>
    </row>
    <row r="3602" spans="1:1" x14ac:dyDescent="0.25">
      <c r="A3602" s="131"/>
    </row>
    <row r="3603" spans="1:1" x14ac:dyDescent="0.25">
      <c r="A3603" s="131"/>
    </row>
    <row r="3604" spans="1:1" x14ac:dyDescent="0.25">
      <c r="A3604" s="131"/>
    </row>
    <row r="3605" spans="1:1" x14ac:dyDescent="0.25">
      <c r="A3605" s="131"/>
    </row>
    <row r="3606" spans="1:1" x14ac:dyDescent="0.25">
      <c r="A3606" s="131"/>
    </row>
    <row r="3607" spans="1:1" x14ac:dyDescent="0.25">
      <c r="A3607" s="131"/>
    </row>
    <row r="3608" spans="1:1" x14ac:dyDescent="0.25">
      <c r="A3608" s="131"/>
    </row>
    <row r="3609" spans="1:1" x14ac:dyDescent="0.25">
      <c r="A3609" s="131"/>
    </row>
    <row r="3610" spans="1:1" x14ac:dyDescent="0.25">
      <c r="A3610" s="131"/>
    </row>
    <row r="3611" spans="1:1" x14ac:dyDescent="0.25">
      <c r="A3611" s="131"/>
    </row>
    <row r="3612" spans="1:1" x14ac:dyDescent="0.25">
      <c r="A3612" s="131"/>
    </row>
    <row r="3613" spans="1:1" x14ac:dyDescent="0.25">
      <c r="A3613" s="131"/>
    </row>
    <row r="3614" spans="1:1" x14ac:dyDescent="0.25">
      <c r="A3614" s="131"/>
    </row>
    <row r="3615" spans="1:1" x14ac:dyDescent="0.25">
      <c r="A3615" s="131"/>
    </row>
    <row r="3616" spans="1:1" x14ac:dyDescent="0.25">
      <c r="A3616" s="131"/>
    </row>
    <row r="3617" spans="1:1" x14ac:dyDescent="0.25">
      <c r="A3617" s="131"/>
    </row>
    <row r="3618" spans="1:1" x14ac:dyDescent="0.25">
      <c r="A3618" s="131"/>
    </row>
    <row r="3619" spans="1:1" x14ac:dyDescent="0.25">
      <c r="A3619" s="131"/>
    </row>
    <row r="3620" spans="1:1" x14ac:dyDescent="0.25">
      <c r="A3620" s="131"/>
    </row>
    <row r="3621" spans="1:1" x14ac:dyDescent="0.25">
      <c r="A3621" s="131"/>
    </row>
    <row r="3622" spans="1:1" x14ac:dyDescent="0.25">
      <c r="A3622" s="131"/>
    </row>
    <row r="3623" spans="1:1" x14ac:dyDescent="0.25">
      <c r="A3623" s="131"/>
    </row>
    <row r="3624" spans="1:1" x14ac:dyDescent="0.25">
      <c r="A3624" s="131"/>
    </row>
    <row r="3625" spans="1:1" x14ac:dyDescent="0.25">
      <c r="A3625" s="1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3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25" customWidth="1"/>
    <col min="2" max="2" width="29.6640625" customWidth="1"/>
    <col min="3" max="3" width="17.33203125" customWidth="1"/>
    <col min="4" max="4" width="1.77734375" customWidth="1"/>
    <col min="5" max="5" width="23.21875" customWidth="1"/>
    <col min="6" max="6" width="25.109375" customWidth="1"/>
    <col min="7" max="11" width="6.44140625" customWidth="1"/>
  </cols>
  <sheetData>
    <row r="1" spans="1:11" ht="22.5" customHeight="1" x14ac:dyDescent="0.25">
      <c r="A1" s="132" t="s">
        <v>142</v>
      </c>
      <c r="B1" s="133" t="s">
        <v>143</v>
      </c>
      <c r="C1" s="133" t="s">
        <v>144</v>
      </c>
      <c r="D1" s="134"/>
      <c r="E1" s="5" t="s">
        <v>145</v>
      </c>
      <c r="F1" s="5" t="s">
        <v>146</v>
      </c>
      <c r="G1" s="134"/>
      <c r="H1" s="134"/>
      <c r="I1" s="134"/>
      <c r="J1" s="134"/>
      <c r="K1" s="134"/>
    </row>
    <row r="2" spans="1:11" ht="22.5" customHeight="1" x14ac:dyDescent="0.25">
      <c r="A2" s="135" t="s">
        <v>147</v>
      </c>
      <c r="B2" s="136">
        <v>18721000</v>
      </c>
      <c r="C2" s="137" t="e">
        <f ca="1">C4*100</f>
        <v>#VALUE!</v>
      </c>
      <c r="D2" s="138"/>
      <c r="E2" s="139" t="s">
        <v>148</v>
      </c>
      <c r="F2" s="140">
        <f>'Agosto 2025'!E34</f>
        <v>21045137.439999998</v>
      </c>
      <c r="G2" s="138"/>
      <c r="H2" s="138"/>
      <c r="I2" s="138"/>
      <c r="J2" s="138"/>
      <c r="K2" s="138"/>
    </row>
    <row r="3" spans="1:11" ht="22.5" customHeight="1" x14ac:dyDescent="0.25">
      <c r="A3" s="135" t="s">
        <v>149</v>
      </c>
      <c r="B3" s="141" t="e">
        <f ca="1">B29 / (1 - (C2 / 100))</f>
        <v>#VALUE!</v>
      </c>
      <c r="C3" s="142" t="e">
        <f ca="1">C2</f>
        <v>#VALUE!</v>
      </c>
      <c r="D3" s="138"/>
      <c r="E3" s="143" t="s">
        <v>150</v>
      </c>
      <c r="F3" s="144" t="e">
        <f>#REF!</f>
        <v>#REF!</v>
      </c>
      <c r="G3" s="138"/>
      <c r="H3" s="138"/>
      <c r="I3" s="138"/>
      <c r="J3" s="138"/>
      <c r="K3" s="138"/>
    </row>
    <row r="4" spans="1:11" ht="22.5" customHeight="1" x14ac:dyDescent="0.25">
      <c r="A4" s="135" t="s">
        <v>5</v>
      </c>
      <c r="B4" s="145" t="e">
        <f ca="1">B2*C4</f>
        <v>#VALUE!</v>
      </c>
      <c r="C4" s="142" t="e">
        <f ca="1">Tabla_4[[#Totals],[CMV ]]</f>
        <v>#VALUE!</v>
      </c>
      <c r="D4" s="138"/>
      <c r="E4" s="143" t="s">
        <v>151</v>
      </c>
      <c r="F4" s="144" t="e">
        <f>#REF!</f>
        <v>#REF!</v>
      </c>
      <c r="G4" s="138"/>
      <c r="H4" s="138"/>
      <c r="I4" s="138"/>
      <c r="J4" s="138"/>
      <c r="K4" s="138"/>
    </row>
    <row r="5" spans="1:11" ht="22.5" customHeight="1" x14ac:dyDescent="0.25">
      <c r="A5" s="146" t="s">
        <v>152</v>
      </c>
      <c r="B5" s="147">
        <v>3000000</v>
      </c>
      <c r="C5" s="148">
        <f t="shared" ref="C5:C17" si="0">(B5/$B$2)*100</f>
        <v>16.024785000801238</v>
      </c>
      <c r="D5" s="149"/>
      <c r="E5" s="143" t="s">
        <v>153</v>
      </c>
      <c r="F5" s="144" t="e">
        <f>#REF!</f>
        <v>#REF!</v>
      </c>
      <c r="G5" s="149"/>
      <c r="H5" s="149"/>
      <c r="I5" s="149"/>
      <c r="J5" s="149"/>
      <c r="K5" s="149"/>
    </row>
    <row r="6" spans="1:11" ht="22.5" customHeight="1" x14ac:dyDescent="0.25">
      <c r="A6" s="146" t="s">
        <v>154</v>
      </c>
      <c r="B6" s="147">
        <v>979000</v>
      </c>
      <c r="C6" s="148">
        <f t="shared" si="0"/>
        <v>5.2294215052614712</v>
      </c>
      <c r="D6" s="149"/>
      <c r="E6" s="143" t="s">
        <v>155</v>
      </c>
      <c r="F6" s="144" t="e">
        <f>#REF!</f>
        <v>#REF!</v>
      </c>
      <c r="G6" s="149"/>
      <c r="H6" s="149"/>
      <c r="I6" s="149"/>
      <c r="J6" s="149"/>
      <c r="K6" s="149"/>
    </row>
    <row r="7" spans="1:11" ht="22.5" customHeight="1" x14ac:dyDescent="0.25">
      <c r="A7" s="146" t="s">
        <v>156</v>
      </c>
      <c r="B7" s="147">
        <v>180000</v>
      </c>
      <c r="C7" s="148">
        <f t="shared" si="0"/>
        <v>0.96148710004807425</v>
      </c>
      <c r="D7" s="149"/>
      <c r="E7" s="143" t="s">
        <v>157</v>
      </c>
      <c r="F7" s="144" t="e">
        <f>#REF!</f>
        <v>#REF!</v>
      </c>
      <c r="G7" s="149"/>
      <c r="H7" s="149"/>
      <c r="I7" s="149"/>
      <c r="J7" s="149"/>
      <c r="K7" s="149"/>
    </row>
    <row r="8" spans="1:11" ht="22.5" customHeight="1" x14ac:dyDescent="0.25">
      <c r="A8" s="146" t="s">
        <v>158</v>
      </c>
      <c r="B8" s="147">
        <v>120000</v>
      </c>
      <c r="C8" s="148">
        <f t="shared" si="0"/>
        <v>0.64099140003204957</v>
      </c>
      <c r="D8" s="149"/>
      <c r="E8" s="143" t="s">
        <v>159</v>
      </c>
      <c r="F8" s="144" t="e">
        <f>#REF!</f>
        <v>#REF!</v>
      </c>
      <c r="G8" s="149"/>
      <c r="H8" s="149"/>
      <c r="I8" s="149"/>
      <c r="J8" s="149"/>
      <c r="K8" s="149"/>
    </row>
    <row r="9" spans="1:11" ht="22.5" customHeight="1" x14ac:dyDescent="0.25">
      <c r="A9" s="146" t="s">
        <v>160</v>
      </c>
      <c r="B9" s="147">
        <v>70000</v>
      </c>
      <c r="C9" s="148">
        <f t="shared" si="0"/>
        <v>0.37391165001869558</v>
      </c>
      <c r="D9" s="149"/>
      <c r="E9" s="150"/>
      <c r="F9" s="150"/>
      <c r="G9" s="149"/>
      <c r="H9" s="149"/>
      <c r="I9" s="149"/>
      <c r="J9" s="149"/>
      <c r="K9" s="149"/>
    </row>
    <row r="10" spans="1:11" ht="22.5" customHeight="1" x14ac:dyDescent="0.25">
      <c r="A10" s="146" t="s">
        <v>161</v>
      </c>
      <c r="B10" s="147">
        <v>50000</v>
      </c>
      <c r="C10" s="148">
        <f t="shared" si="0"/>
        <v>0.26707975001335399</v>
      </c>
      <c r="D10" s="149"/>
      <c r="E10" s="150"/>
      <c r="F10" s="150"/>
      <c r="G10" s="149"/>
      <c r="H10" s="149"/>
      <c r="I10" s="149"/>
      <c r="J10" s="149"/>
      <c r="K10" s="149"/>
    </row>
    <row r="11" spans="1:11" ht="22.5" customHeight="1" x14ac:dyDescent="0.25">
      <c r="A11" s="146" t="s">
        <v>162</v>
      </c>
      <c r="B11" s="147">
        <v>20500</v>
      </c>
      <c r="C11" s="148">
        <f t="shared" si="0"/>
        <v>0.10950269750547514</v>
      </c>
      <c r="D11" s="149"/>
      <c r="E11" s="150"/>
      <c r="F11" s="150"/>
      <c r="G11" s="149"/>
      <c r="H11" s="149"/>
      <c r="I11" s="149"/>
      <c r="J11" s="149"/>
      <c r="K11" s="149"/>
    </row>
    <row r="12" spans="1:11" ht="22.5" customHeight="1" x14ac:dyDescent="0.25">
      <c r="A12" s="146" t="s">
        <v>163</v>
      </c>
      <c r="B12" s="147">
        <v>180000</v>
      </c>
      <c r="C12" s="148">
        <f t="shared" si="0"/>
        <v>0.96148710004807425</v>
      </c>
      <c r="D12" s="149"/>
      <c r="E12" s="150"/>
      <c r="F12" s="150"/>
      <c r="G12" s="149"/>
      <c r="H12" s="149"/>
      <c r="I12" s="149"/>
      <c r="J12" s="149"/>
      <c r="K12" s="149"/>
    </row>
    <row r="13" spans="1:11" ht="22.5" customHeight="1" x14ac:dyDescent="0.25">
      <c r="A13" s="146" t="s">
        <v>164</v>
      </c>
      <c r="B13" s="147">
        <v>120000</v>
      </c>
      <c r="C13" s="148">
        <f t="shared" si="0"/>
        <v>0.64099140003204957</v>
      </c>
      <c r="D13" s="149"/>
      <c r="E13" s="150"/>
      <c r="F13" s="150"/>
      <c r="G13" s="149"/>
      <c r="H13" s="149"/>
      <c r="I13" s="149"/>
      <c r="J13" s="149"/>
      <c r="K13" s="149"/>
    </row>
    <row r="14" spans="1:11" ht="22.5" customHeight="1" x14ac:dyDescent="0.25">
      <c r="A14" s="146" t="s">
        <v>165</v>
      </c>
      <c r="B14" s="147">
        <v>150000</v>
      </c>
      <c r="C14" s="148">
        <f t="shared" si="0"/>
        <v>0.80123925004006202</v>
      </c>
      <c r="D14" s="149"/>
      <c r="E14" s="150"/>
      <c r="F14" s="150"/>
      <c r="G14" s="149"/>
      <c r="H14" s="149"/>
      <c r="I14" s="149"/>
      <c r="J14" s="149"/>
      <c r="K14" s="149"/>
    </row>
    <row r="15" spans="1:11" ht="22.5" customHeight="1" x14ac:dyDescent="0.25">
      <c r="A15" s="146" t="s">
        <v>166</v>
      </c>
      <c r="B15" s="147">
        <v>780000</v>
      </c>
      <c r="C15" s="148">
        <f t="shared" si="0"/>
        <v>4.1664441002083219</v>
      </c>
      <c r="D15" s="149"/>
      <c r="E15" s="150"/>
      <c r="F15" s="150"/>
      <c r="G15" s="149"/>
      <c r="H15" s="149"/>
      <c r="I15" s="149"/>
      <c r="J15" s="149"/>
      <c r="K15" s="149"/>
    </row>
    <row r="16" spans="1:11" ht="22.5" customHeight="1" x14ac:dyDescent="0.25">
      <c r="A16" s="146" t="s">
        <v>167</v>
      </c>
      <c r="B16" s="147">
        <v>81000</v>
      </c>
      <c r="C16" s="148">
        <f t="shared" si="0"/>
        <v>0.43266919502163348</v>
      </c>
      <c r="D16" s="149"/>
      <c r="E16" s="150"/>
      <c r="F16" s="150"/>
      <c r="G16" s="149"/>
      <c r="H16" s="149"/>
      <c r="I16" s="149"/>
      <c r="J16" s="149"/>
      <c r="K16" s="149"/>
    </row>
    <row r="17" spans="1:11" ht="22.5" customHeight="1" x14ac:dyDescent="0.25">
      <c r="A17" s="146" t="s">
        <v>168</v>
      </c>
      <c r="B17" s="147">
        <v>101000</v>
      </c>
      <c r="C17" s="148">
        <f t="shared" si="0"/>
        <v>0.53950109502697507</v>
      </c>
      <c r="D17" s="149"/>
      <c r="E17" s="150"/>
      <c r="F17" s="150"/>
      <c r="G17" s="149"/>
      <c r="H17" s="149"/>
      <c r="I17" s="149"/>
      <c r="J17" s="149"/>
      <c r="K17" s="149"/>
    </row>
    <row r="18" spans="1:11" ht="22.5" customHeight="1" x14ac:dyDescent="0.25">
      <c r="A18" s="135" t="s">
        <v>169</v>
      </c>
      <c r="B18" s="145">
        <f t="shared" ref="B18:C18" si="1">SUM(B5:B17)</f>
        <v>5831500</v>
      </c>
      <c r="C18" s="137">
        <f t="shared" si="1"/>
        <v>31.149511244057479</v>
      </c>
      <c r="D18" s="138"/>
      <c r="E18" s="151"/>
      <c r="F18" s="151"/>
      <c r="G18" s="138"/>
      <c r="H18" s="138"/>
      <c r="I18" s="138"/>
      <c r="J18" s="138"/>
      <c r="K18" s="138"/>
    </row>
    <row r="19" spans="1:11" ht="22.5" customHeight="1" x14ac:dyDescent="0.25">
      <c r="A19" s="146" t="s">
        <v>170</v>
      </c>
      <c r="B19" s="147">
        <v>900000</v>
      </c>
      <c r="C19" s="148">
        <f t="shared" ref="C19:C25" si="2">(B19/$B$2)*100</f>
        <v>4.8074355002403717</v>
      </c>
      <c r="D19" s="149"/>
      <c r="E19" s="150"/>
      <c r="F19" s="150"/>
      <c r="G19" s="149"/>
      <c r="H19" s="149"/>
      <c r="I19" s="149"/>
      <c r="J19" s="149"/>
      <c r="K19" s="149"/>
    </row>
    <row r="20" spans="1:11" ht="22.5" customHeight="1" x14ac:dyDescent="0.25">
      <c r="A20" s="146" t="s">
        <v>171</v>
      </c>
      <c r="B20" s="147">
        <v>460000</v>
      </c>
      <c r="C20" s="148">
        <f t="shared" si="2"/>
        <v>2.4571337001228568</v>
      </c>
      <c r="D20" s="149"/>
      <c r="E20" s="150"/>
      <c r="F20" s="150"/>
      <c r="G20" s="149"/>
      <c r="H20" s="149"/>
      <c r="I20" s="149"/>
      <c r="J20" s="149"/>
      <c r="K20" s="149"/>
    </row>
    <row r="21" spans="1:11" ht="22.5" customHeight="1" x14ac:dyDescent="0.25">
      <c r="A21" s="146" t="s">
        <v>171</v>
      </c>
      <c r="B21" s="147">
        <v>460000</v>
      </c>
      <c r="C21" s="148">
        <f t="shared" si="2"/>
        <v>2.4571337001228568</v>
      </c>
      <c r="D21" s="149"/>
      <c r="E21" s="150"/>
      <c r="F21" s="150"/>
      <c r="G21" s="149"/>
      <c r="H21" s="149"/>
      <c r="I21" s="149"/>
      <c r="J21" s="149"/>
      <c r="K21" s="149"/>
    </row>
    <row r="22" spans="1:11" ht="22.5" customHeight="1" x14ac:dyDescent="0.25">
      <c r="A22" s="146" t="s">
        <v>171</v>
      </c>
      <c r="B22" s="147">
        <v>460000</v>
      </c>
      <c r="C22" s="148">
        <f t="shared" si="2"/>
        <v>2.4571337001228568</v>
      </c>
      <c r="D22" s="149"/>
      <c r="E22" s="150"/>
      <c r="F22" s="150"/>
      <c r="G22" s="149"/>
      <c r="H22" s="149"/>
      <c r="I22" s="149"/>
      <c r="J22" s="149"/>
      <c r="K22" s="149"/>
    </row>
    <row r="23" spans="1:11" ht="22.5" customHeight="1" x14ac:dyDescent="0.25">
      <c r="A23" s="146" t="s">
        <v>171</v>
      </c>
      <c r="B23" s="147">
        <v>460000</v>
      </c>
      <c r="C23" s="148">
        <f t="shared" si="2"/>
        <v>2.4571337001228568</v>
      </c>
      <c r="D23" s="149"/>
      <c r="E23" s="150"/>
      <c r="F23" s="150"/>
      <c r="G23" s="149"/>
      <c r="H23" s="149"/>
      <c r="I23" s="149"/>
      <c r="J23" s="149"/>
      <c r="K23" s="149"/>
    </row>
    <row r="24" spans="1:11" ht="22.5" customHeight="1" x14ac:dyDescent="0.25">
      <c r="A24" s="146" t="s">
        <v>171</v>
      </c>
      <c r="B24" s="147">
        <v>460000</v>
      </c>
      <c r="C24" s="148">
        <f t="shared" si="2"/>
        <v>2.4571337001228568</v>
      </c>
      <c r="D24" s="149"/>
      <c r="E24" s="149"/>
      <c r="F24" s="149"/>
      <c r="G24" s="149"/>
      <c r="H24" s="149"/>
      <c r="I24" s="149"/>
      <c r="J24" s="149"/>
      <c r="K24" s="149"/>
    </row>
    <row r="25" spans="1:11" ht="22.5" customHeight="1" x14ac:dyDescent="0.25">
      <c r="A25" s="152" t="s">
        <v>172</v>
      </c>
      <c r="B25" s="153">
        <v>600000</v>
      </c>
      <c r="C25" s="148">
        <f t="shared" si="2"/>
        <v>3.2049570001602481</v>
      </c>
      <c r="D25" s="149"/>
      <c r="E25" s="149"/>
      <c r="F25" s="149"/>
      <c r="G25" s="149"/>
      <c r="H25" s="149"/>
      <c r="I25" s="149"/>
      <c r="J25" s="149"/>
      <c r="K25" s="149"/>
    </row>
    <row r="26" spans="1:11" ht="22.5" customHeight="1" x14ac:dyDescent="0.25">
      <c r="A26" s="154" t="s">
        <v>173</v>
      </c>
      <c r="B26" s="155">
        <f t="shared" ref="B26:C26" si="3">SUM(B19:B25)</f>
        <v>3800000</v>
      </c>
      <c r="C26" s="137">
        <f t="shared" si="3"/>
        <v>20.298061001014904</v>
      </c>
      <c r="D26" s="138"/>
      <c r="E26" s="138"/>
      <c r="F26" s="138"/>
      <c r="G26" s="138"/>
      <c r="H26" s="138"/>
      <c r="I26" s="138"/>
      <c r="J26" s="138"/>
      <c r="K26" s="138"/>
    </row>
    <row r="27" spans="1:11" ht="22.5" customHeight="1" x14ac:dyDescent="0.25">
      <c r="A27" s="146" t="s">
        <v>174</v>
      </c>
      <c r="B27" s="147">
        <v>500000</v>
      </c>
      <c r="C27" s="148">
        <f t="shared" ref="C27:C28" si="4">(B27/$B$2)*100</f>
        <v>2.6707975001335398</v>
      </c>
      <c r="D27" s="149"/>
      <c r="E27" s="149"/>
      <c r="F27" s="149"/>
      <c r="G27" s="149"/>
      <c r="H27" s="149"/>
      <c r="I27" s="149"/>
      <c r="J27" s="149"/>
      <c r="K27" s="149"/>
    </row>
    <row r="28" spans="1:11" ht="22.5" customHeight="1" x14ac:dyDescent="0.25">
      <c r="A28" s="146" t="s">
        <v>175</v>
      </c>
      <c r="B28" s="147">
        <v>150000</v>
      </c>
      <c r="C28" s="148">
        <f t="shared" si="4"/>
        <v>0.80123925004006202</v>
      </c>
      <c r="D28" s="149"/>
      <c r="E28" s="149"/>
      <c r="F28" s="149"/>
      <c r="G28" s="149"/>
      <c r="H28" s="149"/>
      <c r="I28" s="149"/>
      <c r="J28" s="149"/>
      <c r="K28" s="149"/>
    </row>
    <row r="29" spans="1:11" ht="28.5" customHeight="1" x14ac:dyDescent="0.25">
      <c r="A29" s="135" t="s">
        <v>176</v>
      </c>
      <c r="B29" s="145">
        <f>B28+B27+B26+B18</f>
        <v>10281500</v>
      </c>
      <c r="C29" s="137">
        <f>C26+C18+C28+C27+C28</f>
        <v>55.720848245286042</v>
      </c>
      <c r="D29" s="138"/>
      <c r="E29" s="138"/>
      <c r="F29" s="138"/>
      <c r="G29" s="138"/>
      <c r="H29" s="138"/>
      <c r="I29" s="138"/>
      <c r="J29" s="138"/>
      <c r="K29" s="138"/>
    </row>
    <row r="30" spans="1:11" ht="22.5" customHeight="1" x14ac:dyDescent="0.25">
      <c r="A30" s="135" t="s">
        <v>177</v>
      </c>
      <c r="B30" s="145" t="e">
        <f ca="1">B29+B4</f>
        <v>#VALUE!</v>
      </c>
      <c r="C30" s="137"/>
      <c r="D30" s="138"/>
      <c r="E30" s="138"/>
      <c r="F30" s="138"/>
      <c r="G30" s="138"/>
      <c r="H30" s="138"/>
      <c r="I30" s="138"/>
      <c r="J30" s="138"/>
      <c r="K30" s="138"/>
    </row>
    <row r="31" spans="1:11" ht="35.25" customHeight="1" x14ac:dyDescent="0.3">
      <c r="A31" s="156" t="s">
        <v>178</v>
      </c>
      <c r="B31" s="157" t="e">
        <f ca="1">B2-B30</f>
        <v>#VALUE!</v>
      </c>
      <c r="C31" s="158" t="e">
        <f t="shared" ref="C31:C32" ca="1" si="5">(B31/$B$2)*100</f>
        <v>#VALUE!</v>
      </c>
      <c r="D31" s="159"/>
      <c r="E31" s="159"/>
      <c r="F31" s="159"/>
      <c r="G31" s="159"/>
      <c r="H31" s="159"/>
      <c r="I31" s="159"/>
      <c r="J31" s="159"/>
      <c r="K31" s="159"/>
    </row>
    <row r="32" spans="1:11" ht="35.25" customHeight="1" x14ac:dyDescent="0.3">
      <c r="A32" s="156"/>
      <c r="B32" s="157" t="e">
        <f ca="1">B4-B31</f>
        <v>#VALUE!</v>
      </c>
      <c r="C32" s="158" t="e">
        <f t="shared" ca="1" si="5"/>
        <v>#VALUE!</v>
      </c>
      <c r="D32" s="159"/>
      <c r="E32" s="103"/>
      <c r="F32" s="103"/>
      <c r="G32" s="159"/>
      <c r="H32" s="159"/>
      <c r="I32" s="159"/>
      <c r="J32" s="159"/>
      <c r="K32" s="159"/>
    </row>
  </sheetData>
  <dataValidations count="2">
    <dataValidation type="custom" allowBlank="1" showDropDown="1" sqref="C2:C32" xr:uid="{00000000-0002-0000-0700-000000000000}">
      <formula1>AND(ISNUMBER(C2),(NOT(OR(NOT(ISERROR(DATEVALUE(C2))), AND(ISNUMBER(C2), LEFT(CELL("format", C2))="D")))))</formula1>
    </dataValidation>
    <dataValidation allowBlank="1" showDropDown="1" sqref="E2:E8 A2:A32" xr:uid="{00000000-0002-0000-0700-000001000000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S98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2.21875" customWidth="1"/>
    <col min="2" max="2" width="34.77734375" customWidth="1"/>
    <col min="3" max="3" width="2.21875" customWidth="1"/>
    <col min="4" max="4" width="41.109375" customWidth="1"/>
    <col min="5" max="5" width="3.109375" customWidth="1"/>
    <col min="6" max="6" width="43.33203125" customWidth="1"/>
  </cols>
  <sheetData>
    <row r="1" spans="1:19" x14ac:dyDescent="0.25">
      <c r="A1" s="55"/>
      <c r="B1" s="55"/>
      <c r="C1" s="55"/>
      <c r="D1" s="174"/>
      <c r="E1" s="54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x14ac:dyDescent="0.25">
      <c r="A2" s="55"/>
      <c r="B2" s="175" t="s">
        <v>194</v>
      </c>
      <c r="C2" s="55"/>
      <c r="D2" s="176" t="s">
        <v>10</v>
      </c>
      <c r="E2" s="54"/>
      <c r="F2" s="177" t="s">
        <v>11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x14ac:dyDescent="0.25">
      <c r="A3" s="55"/>
      <c r="B3" s="175" t="s">
        <v>195</v>
      </c>
      <c r="C3" s="55"/>
      <c r="D3" s="176" t="s">
        <v>28</v>
      </c>
      <c r="E3" s="54"/>
      <c r="F3" s="178" t="s">
        <v>49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x14ac:dyDescent="0.25">
      <c r="A4" s="55"/>
      <c r="B4" s="179" t="s">
        <v>54</v>
      </c>
      <c r="C4" s="55"/>
      <c r="D4" s="176" t="s">
        <v>29</v>
      </c>
      <c r="E4" s="54"/>
      <c r="F4" s="178" t="s">
        <v>44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19" x14ac:dyDescent="0.25">
      <c r="A5" s="55"/>
      <c r="B5" s="175" t="s">
        <v>14</v>
      </c>
      <c r="C5" s="55"/>
      <c r="D5" s="180" t="s">
        <v>33</v>
      </c>
      <c r="E5" s="54"/>
      <c r="F5" s="178" t="s">
        <v>13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19" x14ac:dyDescent="0.25">
      <c r="A6" s="55"/>
      <c r="B6" s="175" t="s">
        <v>42</v>
      </c>
      <c r="C6" s="55"/>
      <c r="D6" s="180" t="s">
        <v>36</v>
      </c>
      <c r="E6" s="54"/>
      <c r="F6" s="178" t="s">
        <v>15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</row>
    <row r="7" spans="1:19" x14ac:dyDescent="0.25">
      <c r="A7" s="55"/>
      <c r="B7" s="175" t="s">
        <v>30</v>
      </c>
      <c r="C7" s="55"/>
      <c r="D7" s="180" t="s">
        <v>41</v>
      </c>
      <c r="E7" s="54"/>
      <c r="F7" s="178" t="s">
        <v>70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x14ac:dyDescent="0.25">
      <c r="A8" s="55"/>
      <c r="B8" s="175" t="s">
        <v>196</v>
      </c>
      <c r="C8" s="55"/>
      <c r="D8" s="180" t="s">
        <v>43</v>
      </c>
      <c r="E8" s="54"/>
      <c r="F8" s="178" t="s">
        <v>34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x14ac:dyDescent="0.25">
      <c r="A9" s="55"/>
      <c r="B9" s="175" t="s">
        <v>23</v>
      </c>
      <c r="C9" s="55"/>
      <c r="D9" s="180" t="s">
        <v>45</v>
      </c>
      <c r="E9" s="54"/>
      <c r="F9" s="178" t="s">
        <v>14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</row>
    <row r="10" spans="1:19" x14ac:dyDescent="0.25">
      <c r="A10" s="55"/>
      <c r="B10" s="175" t="s">
        <v>59</v>
      </c>
      <c r="C10" s="55"/>
      <c r="D10" s="180" t="s">
        <v>46</v>
      </c>
      <c r="E10" s="54"/>
      <c r="F10" s="175" t="s">
        <v>23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</row>
    <row r="11" spans="1:19" x14ac:dyDescent="0.25">
      <c r="A11" s="55"/>
      <c r="B11" s="175" t="s">
        <v>197</v>
      </c>
      <c r="C11" s="55"/>
      <c r="D11" s="180" t="s">
        <v>47</v>
      </c>
      <c r="E11" s="54"/>
      <c r="F11" s="178" t="s">
        <v>98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x14ac:dyDescent="0.25">
      <c r="A12" s="55"/>
      <c r="B12" s="175" t="s">
        <v>198</v>
      </c>
      <c r="C12" s="55"/>
      <c r="D12" s="180" t="s">
        <v>48</v>
      </c>
      <c r="E12" s="54"/>
      <c r="F12" s="175" t="s">
        <v>96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</row>
    <row r="13" spans="1:19" x14ac:dyDescent="0.25">
      <c r="A13" s="55"/>
      <c r="B13" s="175" t="s">
        <v>31</v>
      </c>
      <c r="C13" s="55"/>
      <c r="D13" s="180" t="s">
        <v>50</v>
      </c>
      <c r="E13" s="54"/>
      <c r="F13" s="178" t="s">
        <v>16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</row>
    <row r="14" spans="1:19" x14ac:dyDescent="0.25">
      <c r="A14" s="55"/>
      <c r="B14" s="175" t="s">
        <v>32</v>
      </c>
      <c r="C14" s="55"/>
      <c r="D14" s="180" t="s">
        <v>53</v>
      </c>
      <c r="E14" s="54"/>
      <c r="F14" s="178" t="s">
        <v>17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</row>
    <row r="15" spans="1:19" x14ac:dyDescent="0.25">
      <c r="A15" s="55"/>
      <c r="B15" s="179" t="s">
        <v>15</v>
      </c>
      <c r="C15" s="55"/>
      <c r="D15" s="180" t="s">
        <v>55</v>
      </c>
      <c r="E15" s="54"/>
      <c r="F15" s="175" t="s">
        <v>199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</row>
    <row r="16" spans="1:19" x14ac:dyDescent="0.25">
      <c r="A16" s="55"/>
      <c r="B16" s="179" t="s">
        <v>121</v>
      </c>
      <c r="C16" s="55"/>
      <c r="D16" s="180" t="s">
        <v>58</v>
      </c>
      <c r="E16" s="54"/>
      <c r="F16" s="178" t="s">
        <v>54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</row>
    <row r="17" spans="1:19" x14ac:dyDescent="0.25">
      <c r="A17" s="55"/>
      <c r="B17" s="175" t="s">
        <v>127</v>
      </c>
      <c r="C17" s="55"/>
      <c r="D17" s="180" t="s">
        <v>60</v>
      </c>
      <c r="E17" s="54"/>
      <c r="F17" s="178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 spans="1:19" x14ac:dyDescent="0.25">
      <c r="A18" s="55"/>
      <c r="B18" s="178" t="s">
        <v>16</v>
      </c>
      <c r="C18" s="55"/>
      <c r="D18" s="180" t="s">
        <v>62</v>
      </c>
      <c r="E18" s="54"/>
      <c r="F18" s="178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</row>
    <row r="19" spans="1:19" x14ac:dyDescent="0.25">
      <c r="A19" s="55"/>
      <c r="B19" s="181" t="s">
        <v>17</v>
      </c>
      <c r="C19" s="55"/>
      <c r="D19" s="176" t="s">
        <v>64</v>
      </c>
      <c r="E19" s="182"/>
      <c r="F19" s="178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</row>
    <row r="20" spans="1:19" x14ac:dyDescent="0.25">
      <c r="A20" s="55"/>
      <c r="B20" s="181" t="s">
        <v>34</v>
      </c>
      <c r="C20" s="55"/>
      <c r="D20" s="176" t="s">
        <v>66</v>
      </c>
      <c r="E20" s="182"/>
      <c r="F20" s="17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</row>
    <row r="21" spans="1:19" x14ac:dyDescent="0.25">
      <c r="A21" s="55"/>
      <c r="B21" s="183" t="s">
        <v>35</v>
      </c>
      <c r="C21" s="55"/>
      <c r="D21" s="176" t="s">
        <v>67</v>
      </c>
      <c r="E21" s="182"/>
      <c r="F21" s="17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</row>
    <row r="22" spans="1:19" x14ac:dyDescent="0.25">
      <c r="A22" s="55"/>
      <c r="B22" s="181" t="s">
        <v>38</v>
      </c>
      <c r="C22" s="55"/>
      <c r="D22" s="176" t="s">
        <v>68</v>
      </c>
      <c r="E22" s="182"/>
      <c r="F22" s="17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</row>
    <row r="23" spans="1:19" x14ac:dyDescent="0.25">
      <c r="A23" s="55"/>
      <c r="B23" s="181" t="s">
        <v>39</v>
      </c>
      <c r="C23" s="55"/>
      <c r="D23" s="176" t="s">
        <v>74</v>
      </c>
      <c r="E23" s="182"/>
      <c r="F23" s="17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</row>
    <row r="24" spans="1:19" x14ac:dyDescent="0.25">
      <c r="A24" s="55"/>
      <c r="B24" s="183" t="s">
        <v>40</v>
      </c>
      <c r="C24" s="55"/>
      <c r="D24" s="176" t="s">
        <v>78</v>
      </c>
      <c r="E24" s="182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</row>
    <row r="25" spans="1:19" x14ac:dyDescent="0.25">
      <c r="A25" s="55"/>
      <c r="B25" s="175" t="s">
        <v>51</v>
      </c>
      <c r="C25" s="55"/>
      <c r="D25" s="176" t="s">
        <v>82</v>
      </c>
      <c r="E25" s="182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</row>
    <row r="26" spans="1:19" x14ac:dyDescent="0.25">
      <c r="A26" s="55"/>
      <c r="B26" s="178" t="s">
        <v>13</v>
      </c>
      <c r="C26" s="55"/>
      <c r="D26" s="176" t="s">
        <v>76</v>
      </c>
      <c r="E26" s="182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19" x14ac:dyDescent="0.25">
      <c r="A27" s="55"/>
      <c r="B27" s="175" t="s">
        <v>122</v>
      </c>
      <c r="C27" s="55"/>
      <c r="D27" s="176" t="s">
        <v>89</v>
      </c>
      <c r="E27" s="182"/>
      <c r="F27" s="5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1:19" x14ac:dyDescent="0.25">
      <c r="A28" s="55"/>
      <c r="B28" s="175" t="s">
        <v>18</v>
      </c>
      <c r="C28" s="55"/>
      <c r="D28" s="176" t="s">
        <v>93</v>
      </c>
      <c r="E28" s="182"/>
      <c r="F28" s="5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19" x14ac:dyDescent="0.25">
      <c r="A29" s="55"/>
      <c r="B29" s="178" t="s">
        <v>19</v>
      </c>
      <c r="C29" s="55"/>
      <c r="D29" s="176" t="s">
        <v>87</v>
      </c>
      <c r="E29" s="182"/>
      <c r="F29" s="5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 spans="1:19" x14ac:dyDescent="0.25">
      <c r="A30" s="55"/>
      <c r="B30" s="175" t="s">
        <v>200</v>
      </c>
      <c r="C30" s="55"/>
      <c r="D30" s="176" t="s">
        <v>86</v>
      </c>
      <c r="E30" s="182"/>
      <c r="F30" s="5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 spans="1:19" x14ac:dyDescent="0.25">
      <c r="A31" s="55"/>
      <c r="B31" s="178" t="s">
        <v>49</v>
      </c>
      <c r="C31" s="55"/>
      <c r="D31" s="176" t="s">
        <v>100</v>
      </c>
      <c r="E31" s="54"/>
      <c r="F31" s="5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</row>
    <row r="32" spans="1:19" x14ac:dyDescent="0.25">
      <c r="A32" s="55"/>
      <c r="B32" s="175" t="s">
        <v>37</v>
      </c>
      <c r="C32" s="55"/>
      <c r="D32" s="176" t="s">
        <v>84</v>
      </c>
      <c r="E32" s="54"/>
      <c r="F32" s="5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</row>
    <row r="33" spans="1:19" x14ac:dyDescent="0.25">
      <c r="A33" s="55"/>
      <c r="B33" s="178" t="s">
        <v>52</v>
      </c>
      <c r="C33" s="55"/>
      <c r="D33" s="176" t="s">
        <v>69</v>
      </c>
      <c r="E33" s="54"/>
      <c r="F33" s="5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x14ac:dyDescent="0.25">
      <c r="A34" s="55"/>
      <c r="B34" s="178" t="s">
        <v>56</v>
      </c>
      <c r="C34" s="55"/>
      <c r="D34" s="176" t="s">
        <v>71</v>
      </c>
      <c r="E34" s="54"/>
      <c r="F34" s="54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</row>
    <row r="35" spans="1:19" x14ac:dyDescent="0.25">
      <c r="A35" s="55"/>
      <c r="B35" s="178" t="s">
        <v>57</v>
      </c>
      <c r="C35" s="55"/>
      <c r="D35" s="176" t="s">
        <v>97</v>
      </c>
      <c r="E35" s="54"/>
      <c r="F35" s="54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</row>
    <row r="36" spans="1:19" x14ac:dyDescent="0.25">
      <c r="A36" s="55"/>
      <c r="B36" s="178" t="s">
        <v>61</v>
      </c>
      <c r="C36" s="55"/>
      <c r="D36" s="176" t="s">
        <v>95</v>
      </c>
      <c r="E36" s="54"/>
      <c r="F36" s="54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 spans="1:19" x14ac:dyDescent="0.25">
      <c r="A37" s="55"/>
      <c r="B37" s="178" t="s">
        <v>59</v>
      </c>
      <c r="C37" s="55"/>
      <c r="D37" s="176" t="s">
        <v>72</v>
      </c>
      <c r="E37" s="54"/>
      <c r="F37" s="54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 spans="1:19" x14ac:dyDescent="0.25">
      <c r="A38" s="55"/>
      <c r="B38" s="178" t="s">
        <v>63</v>
      </c>
      <c r="C38" s="55"/>
      <c r="D38" s="176" t="s">
        <v>201</v>
      </c>
      <c r="E38" s="54"/>
      <c r="F38" s="54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</row>
    <row r="39" spans="1:19" x14ac:dyDescent="0.25">
      <c r="A39" s="55"/>
      <c r="B39" s="179" t="s">
        <v>44</v>
      </c>
      <c r="C39" s="55"/>
      <c r="D39" s="176" t="s">
        <v>73</v>
      </c>
      <c r="E39" s="54"/>
      <c r="F39" s="54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</row>
    <row r="40" spans="1:19" x14ac:dyDescent="0.25">
      <c r="A40" s="55"/>
      <c r="B40" s="175" t="s">
        <v>20</v>
      </c>
      <c r="C40" s="55"/>
      <c r="D40" s="176" t="s">
        <v>80</v>
      </c>
      <c r="E40" s="54"/>
      <c r="F40" s="54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</row>
    <row r="41" spans="1:19" x14ac:dyDescent="0.25">
      <c r="A41" s="55"/>
      <c r="B41" s="175" t="s">
        <v>24</v>
      </c>
      <c r="C41" s="55"/>
      <c r="D41" s="176" t="s">
        <v>91</v>
      </c>
      <c r="E41" s="54"/>
      <c r="F41" s="54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</row>
    <row r="42" spans="1:19" x14ac:dyDescent="0.25">
      <c r="A42" s="55"/>
      <c r="B42" s="175" t="s">
        <v>200</v>
      </c>
      <c r="C42" s="55"/>
      <c r="D42" s="176" t="s">
        <v>202</v>
      </c>
      <c r="E42" s="54"/>
      <c r="F42" s="54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</row>
    <row r="43" spans="1:19" x14ac:dyDescent="0.25">
      <c r="A43" s="55"/>
      <c r="B43" s="178" t="s">
        <v>11</v>
      </c>
      <c r="C43" s="55"/>
      <c r="D43" s="176" t="s">
        <v>203</v>
      </c>
      <c r="E43" s="54"/>
      <c r="F43" s="54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</row>
    <row r="44" spans="1:19" x14ac:dyDescent="0.25">
      <c r="A44" s="55"/>
      <c r="B44" s="175" t="s">
        <v>79</v>
      </c>
      <c r="C44" s="55"/>
      <c r="D44" s="176" t="s">
        <v>204</v>
      </c>
      <c r="E44" s="54"/>
      <c r="F44" s="54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 spans="1:19" x14ac:dyDescent="0.25">
      <c r="A45" s="55"/>
      <c r="B45" s="175" t="s">
        <v>75</v>
      </c>
      <c r="C45" s="55"/>
      <c r="D45" s="176" t="s">
        <v>205</v>
      </c>
      <c r="E45" s="54"/>
      <c r="F45" s="54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</row>
    <row r="46" spans="1:19" x14ac:dyDescent="0.25">
      <c r="A46" s="55"/>
      <c r="B46" s="175" t="s">
        <v>83</v>
      </c>
      <c r="C46" s="55"/>
      <c r="D46" s="184" t="s">
        <v>206</v>
      </c>
      <c r="E46" s="54"/>
      <c r="F46" s="54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</row>
    <row r="47" spans="1:19" x14ac:dyDescent="0.25">
      <c r="A47" s="55"/>
      <c r="B47" s="178" t="s">
        <v>121</v>
      </c>
      <c r="C47" s="55"/>
      <c r="D47" s="185" t="s">
        <v>99</v>
      </c>
      <c r="E47" s="54"/>
      <c r="F47" s="54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</row>
    <row r="48" spans="1:19" x14ac:dyDescent="0.25">
      <c r="A48" s="55"/>
      <c r="B48" s="178" t="s">
        <v>122</v>
      </c>
      <c r="C48" s="55"/>
      <c r="D48" s="176" t="s">
        <v>207</v>
      </c>
      <c r="E48" s="54"/>
      <c r="F48" s="54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</row>
    <row r="49" spans="1:19" x14ac:dyDescent="0.25">
      <c r="A49" s="55"/>
      <c r="B49" s="178" t="s">
        <v>122</v>
      </c>
      <c r="C49" s="55"/>
      <c r="D49" s="174"/>
      <c r="E49" s="54"/>
      <c r="F49" s="54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</row>
    <row r="50" spans="1:19" x14ac:dyDescent="0.25">
      <c r="A50" s="55"/>
      <c r="B50" s="175" t="s">
        <v>77</v>
      </c>
      <c r="C50" s="55"/>
      <c r="D50" s="174"/>
      <c r="E50" s="54"/>
      <c r="F50" s="54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</row>
    <row r="51" spans="1:19" x14ac:dyDescent="0.25">
      <c r="A51" s="55"/>
      <c r="B51" s="175" t="s">
        <v>90</v>
      </c>
      <c r="C51" s="55"/>
      <c r="D51" s="174"/>
      <c r="E51" s="54"/>
      <c r="F51" s="54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</row>
    <row r="52" spans="1:19" x14ac:dyDescent="0.25">
      <c r="A52" s="55"/>
      <c r="B52" s="175" t="s">
        <v>94</v>
      </c>
      <c r="C52" s="55"/>
      <c r="D52" s="174"/>
      <c r="E52" s="54"/>
      <c r="F52" s="54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</row>
    <row r="53" spans="1:19" x14ac:dyDescent="0.25">
      <c r="A53" s="55"/>
      <c r="B53" s="175" t="s">
        <v>125</v>
      </c>
      <c r="C53" s="55"/>
      <c r="D53" s="174"/>
      <c r="E53" s="54"/>
      <c r="F53" s="54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</row>
    <row r="54" spans="1:19" x14ac:dyDescent="0.25">
      <c r="A54" s="55"/>
      <c r="B54" s="175" t="s">
        <v>88</v>
      </c>
      <c r="C54" s="55"/>
      <c r="D54" s="174"/>
      <c r="E54" s="54"/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</row>
    <row r="55" spans="1:19" x14ac:dyDescent="0.25">
      <c r="A55" s="55"/>
      <c r="B55" s="175" t="s">
        <v>85</v>
      </c>
      <c r="C55" s="55"/>
      <c r="D55" s="174"/>
      <c r="E55" s="54"/>
      <c r="F55" s="54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</row>
    <row r="56" spans="1:19" x14ac:dyDescent="0.25">
      <c r="A56" s="55"/>
      <c r="B56" s="175" t="s">
        <v>70</v>
      </c>
      <c r="C56" s="55"/>
      <c r="D56" s="174"/>
      <c r="E56" s="54"/>
      <c r="F56" s="54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</row>
    <row r="57" spans="1:19" x14ac:dyDescent="0.25">
      <c r="A57" s="55"/>
      <c r="B57" s="175" t="s">
        <v>98</v>
      </c>
      <c r="C57" s="55"/>
      <c r="D57" s="174"/>
      <c r="E57" s="54"/>
      <c r="F57" s="54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</row>
    <row r="58" spans="1:19" x14ac:dyDescent="0.25">
      <c r="A58" s="55"/>
      <c r="B58" s="175" t="s">
        <v>96</v>
      </c>
      <c r="C58" s="55"/>
      <c r="D58" s="174"/>
      <c r="E58" s="54"/>
      <c r="F58" s="54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</row>
    <row r="59" spans="1:19" x14ac:dyDescent="0.25">
      <c r="A59" s="55"/>
      <c r="B59" s="178" t="s">
        <v>81</v>
      </c>
      <c r="C59" s="55"/>
      <c r="D59" s="174"/>
      <c r="E59" s="54"/>
      <c r="F59" s="54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</row>
    <row r="60" spans="1:19" x14ac:dyDescent="0.25">
      <c r="A60" s="55"/>
      <c r="B60" s="175" t="s">
        <v>92</v>
      </c>
      <c r="C60" s="55"/>
      <c r="D60" s="174"/>
      <c r="E60" s="54"/>
      <c r="F60" s="54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</row>
    <row r="61" spans="1:19" x14ac:dyDescent="0.25">
      <c r="A61" s="55"/>
      <c r="B61" s="186" t="s">
        <v>208</v>
      </c>
      <c r="C61" s="187"/>
      <c r="D61" s="174"/>
      <c r="E61" s="54"/>
      <c r="F61" s="54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</row>
    <row r="62" spans="1:19" x14ac:dyDescent="0.25">
      <c r="A62" s="55"/>
      <c r="B62" s="179" t="s">
        <v>65</v>
      </c>
      <c r="C62" s="187"/>
      <c r="D62" s="174"/>
      <c r="E62" s="54"/>
      <c r="F62" s="54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</row>
    <row r="63" spans="1:19" x14ac:dyDescent="0.25">
      <c r="A63" s="55"/>
      <c r="B63" s="188" t="s">
        <v>22</v>
      </c>
      <c r="C63" s="187"/>
      <c r="D63" s="174"/>
      <c r="E63" s="54"/>
      <c r="F63" s="54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</row>
    <row r="64" spans="1:19" x14ac:dyDescent="0.25">
      <c r="A64" s="55"/>
      <c r="B64" s="179" t="s">
        <v>129</v>
      </c>
      <c r="C64" s="187"/>
      <c r="D64" s="174"/>
      <c r="E64" s="54"/>
      <c r="F64" s="54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</row>
    <row r="65" spans="1:19" x14ac:dyDescent="0.25">
      <c r="A65" s="55"/>
      <c r="B65" s="179" t="s">
        <v>25</v>
      </c>
      <c r="C65" s="187"/>
      <c r="D65" s="174"/>
      <c r="E65" s="54"/>
      <c r="F65" s="54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</row>
    <row r="66" spans="1:19" x14ac:dyDescent="0.25">
      <c r="A66" s="55"/>
      <c r="B66" s="179" t="s">
        <v>26</v>
      </c>
      <c r="C66" s="187"/>
      <c r="D66" s="174"/>
      <c r="E66" s="54"/>
      <c r="F66" s="54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</row>
    <row r="67" spans="1:19" x14ac:dyDescent="0.25">
      <c r="A67" s="55"/>
      <c r="B67" s="179" t="s">
        <v>107</v>
      </c>
      <c r="C67" s="187"/>
      <c r="D67" s="174"/>
      <c r="E67" s="54"/>
      <c r="F67" s="54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</row>
    <row r="68" spans="1:19" ht="15.75" customHeight="1" x14ac:dyDescent="0.3">
      <c r="A68" s="55"/>
      <c r="B68" s="55"/>
      <c r="C68" s="189"/>
      <c r="D68" s="190"/>
      <c r="E68" s="191"/>
      <c r="F68" s="191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</row>
    <row r="69" spans="1:19" ht="15.75" customHeight="1" x14ac:dyDescent="0.3">
      <c r="A69" s="55"/>
      <c r="B69" s="187"/>
      <c r="C69" s="189"/>
      <c r="D69" s="190"/>
      <c r="E69" s="191"/>
      <c r="F69" s="191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</row>
    <row r="70" spans="1:19" ht="15.75" customHeight="1" x14ac:dyDescent="0.3">
      <c r="A70" s="55"/>
      <c r="B70" s="55"/>
      <c r="C70" s="189"/>
      <c r="D70" s="190"/>
      <c r="E70" s="191"/>
      <c r="F70" s="191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</row>
    <row r="71" spans="1:19" ht="15.75" customHeight="1" x14ac:dyDescent="0.3">
      <c r="A71" s="55"/>
      <c r="B71" s="55"/>
      <c r="C71" s="189"/>
      <c r="D71" s="190"/>
      <c r="E71" s="191"/>
      <c r="F71" s="191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</row>
    <row r="72" spans="1:19" ht="15.75" customHeight="1" x14ac:dyDescent="0.3">
      <c r="A72" s="55"/>
      <c r="B72" s="55"/>
      <c r="C72" s="189"/>
      <c r="D72" s="190"/>
      <c r="E72" s="191"/>
      <c r="F72" s="191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</row>
    <row r="73" spans="1:19" ht="15.75" customHeight="1" x14ac:dyDescent="0.3">
      <c r="A73" s="55"/>
      <c r="B73" s="55"/>
      <c r="C73" s="189"/>
      <c r="D73" s="190"/>
      <c r="E73" s="191"/>
      <c r="F73" s="191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</row>
    <row r="74" spans="1:19" ht="15.75" customHeight="1" x14ac:dyDescent="0.3">
      <c r="A74" s="55"/>
      <c r="B74" s="55"/>
      <c r="C74" s="189"/>
      <c r="D74" s="190"/>
      <c r="E74" s="191"/>
      <c r="F74" s="191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</row>
    <row r="75" spans="1:19" ht="15.75" customHeight="1" x14ac:dyDescent="0.3">
      <c r="A75" s="55"/>
      <c r="B75" s="55"/>
      <c r="C75" s="189"/>
      <c r="D75" s="190"/>
      <c r="E75" s="191"/>
      <c r="F75" s="191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</row>
    <row r="76" spans="1:19" ht="15.75" customHeight="1" x14ac:dyDescent="0.3">
      <c r="A76" s="55"/>
      <c r="B76" s="55"/>
      <c r="C76" s="189"/>
      <c r="D76" s="190"/>
      <c r="E76" s="191"/>
      <c r="F76" s="191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</row>
    <row r="77" spans="1:19" ht="15.75" customHeight="1" x14ac:dyDescent="0.3">
      <c r="A77" s="55"/>
      <c r="B77" s="55"/>
      <c r="C77" s="189"/>
      <c r="D77" s="174"/>
      <c r="E77" s="54"/>
      <c r="F77" s="54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</row>
    <row r="78" spans="1:19" x14ac:dyDescent="0.25">
      <c r="A78" s="55"/>
      <c r="B78" s="55"/>
      <c r="C78" s="55"/>
      <c r="D78" s="174"/>
      <c r="E78" s="54"/>
      <c r="F78" s="54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</row>
    <row r="79" spans="1:19" x14ac:dyDescent="0.25">
      <c r="A79" s="55"/>
      <c r="B79" s="55"/>
      <c r="C79" s="55"/>
      <c r="D79" s="174"/>
      <c r="E79" s="54"/>
      <c r="F79" s="54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</row>
    <row r="80" spans="1:19" x14ac:dyDescent="0.25">
      <c r="A80" s="55"/>
      <c r="B80" s="55"/>
      <c r="C80" s="55"/>
      <c r="D80" s="174"/>
      <c r="E80" s="54"/>
      <c r="F80" s="54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</row>
    <row r="81" spans="1:19" x14ac:dyDescent="0.25">
      <c r="A81" s="55"/>
      <c r="B81" s="55"/>
      <c r="C81" s="55"/>
      <c r="D81" s="174"/>
      <c r="E81" s="54"/>
      <c r="F81" s="54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</row>
    <row r="82" spans="1:19" x14ac:dyDescent="0.25">
      <c r="A82" s="55"/>
      <c r="B82" s="55"/>
      <c r="C82" s="55"/>
      <c r="D82" s="174"/>
      <c r="E82" s="54"/>
      <c r="F82" s="54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</row>
    <row r="83" spans="1:19" x14ac:dyDescent="0.25">
      <c r="A83" s="55"/>
      <c r="B83" s="55"/>
      <c r="C83" s="55"/>
      <c r="D83" s="174"/>
      <c r="E83" s="54"/>
      <c r="F83" s="54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</row>
    <row r="84" spans="1:19" x14ac:dyDescent="0.25">
      <c r="A84" s="55"/>
      <c r="B84" s="55"/>
      <c r="C84" s="55"/>
      <c r="D84" s="174"/>
      <c r="E84" s="54"/>
      <c r="F84" s="54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</row>
    <row r="85" spans="1:19" x14ac:dyDescent="0.25">
      <c r="A85" s="55"/>
      <c r="B85" s="55"/>
      <c r="C85" s="55"/>
      <c r="D85" s="174"/>
      <c r="E85" s="54"/>
      <c r="F85" s="54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</row>
    <row r="86" spans="1:19" x14ac:dyDescent="0.25">
      <c r="A86" s="55"/>
      <c r="B86" s="55"/>
      <c r="C86" s="55"/>
      <c r="D86" s="174"/>
      <c r="E86" s="54"/>
      <c r="F86" s="54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</row>
    <row r="87" spans="1:19" x14ac:dyDescent="0.25">
      <c r="A87" s="55"/>
      <c r="B87" s="55"/>
      <c r="C87" s="55"/>
      <c r="D87" s="174"/>
      <c r="E87" s="54"/>
      <c r="F87" s="54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</row>
    <row r="88" spans="1:19" x14ac:dyDescent="0.25">
      <c r="A88" s="55"/>
      <c r="B88" s="55"/>
      <c r="C88" s="55"/>
      <c r="D88" s="174"/>
      <c r="E88" s="54"/>
      <c r="F88" s="54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</row>
    <row r="89" spans="1:19" x14ac:dyDescent="0.25">
      <c r="A89" s="55"/>
      <c r="B89" s="55"/>
      <c r="C89" s="55"/>
      <c r="D89" s="174"/>
      <c r="E89" s="54"/>
      <c r="F89" s="54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</row>
    <row r="90" spans="1:19" ht="15.75" customHeight="1" x14ac:dyDescent="0.3">
      <c r="A90" s="55"/>
      <c r="B90" s="55"/>
      <c r="C90" s="189"/>
      <c r="D90" s="174"/>
      <c r="E90" s="54"/>
      <c r="F90" s="54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</row>
    <row r="91" spans="1:19" x14ac:dyDescent="0.25">
      <c r="A91" s="55"/>
      <c r="B91" s="55"/>
      <c r="C91" s="55"/>
      <c r="D91" s="174"/>
      <c r="E91" s="54"/>
      <c r="F91" s="54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</row>
    <row r="92" spans="1:19" x14ac:dyDescent="0.25">
      <c r="A92" s="55"/>
      <c r="B92" s="55"/>
      <c r="C92" s="55"/>
      <c r="D92" s="174"/>
      <c r="E92" s="54"/>
      <c r="F92" s="54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</row>
    <row r="93" spans="1:19" x14ac:dyDescent="0.25">
      <c r="A93" s="55"/>
      <c r="B93" s="55"/>
      <c r="C93" s="55"/>
      <c r="D93" s="174"/>
      <c r="E93" s="54"/>
      <c r="F93" s="54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</row>
    <row r="94" spans="1:19" x14ac:dyDescent="0.25">
      <c r="A94" s="55"/>
      <c r="B94" s="55"/>
      <c r="C94" s="55"/>
      <c r="D94" s="174"/>
      <c r="E94" s="54"/>
      <c r="F94" s="54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</row>
    <row r="95" spans="1:19" x14ac:dyDescent="0.25">
      <c r="A95" s="55"/>
      <c r="B95" s="55"/>
      <c r="C95" s="55"/>
      <c r="D95" s="174"/>
      <c r="E95" s="54"/>
      <c r="F95" s="54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</row>
    <row r="96" spans="1:19" x14ac:dyDescent="0.25">
      <c r="A96" s="55"/>
      <c r="B96" s="55"/>
      <c r="C96" s="55"/>
      <c r="D96" s="174"/>
      <c r="E96" s="54"/>
      <c r="F96" s="54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</row>
    <row r="97" spans="1:19" x14ac:dyDescent="0.25">
      <c r="A97" s="55"/>
      <c r="B97" s="55"/>
      <c r="C97" s="55"/>
      <c r="D97" s="174"/>
      <c r="E97" s="54"/>
      <c r="F97" s="54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</row>
    <row r="98" spans="1:19" x14ac:dyDescent="0.25">
      <c r="A98" s="55"/>
      <c r="B98" s="55"/>
      <c r="C98" s="55"/>
      <c r="D98" s="174"/>
      <c r="E98" s="54"/>
      <c r="F98" s="54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</row>
    <row r="99" spans="1:19" x14ac:dyDescent="0.25">
      <c r="A99" s="55"/>
      <c r="B99" s="55"/>
      <c r="C99" s="55"/>
      <c r="D99" s="174"/>
      <c r="E99" s="54"/>
      <c r="F99" s="54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</row>
    <row r="100" spans="1:19" x14ac:dyDescent="0.25">
      <c r="A100" s="55"/>
      <c r="B100" s="55"/>
      <c r="C100" s="55"/>
      <c r="D100" s="174"/>
      <c r="E100" s="54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</row>
    <row r="101" spans="1:19" x14ac:dyDescent="0.25">
      <c r="A101" s="55"/>
      <c r="B101" s="55"/>
      <c r="C101" s="55"/>
      <c r="D101" s="174"/>
      <c r="E101" s="54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</row>
    <row r="102" spans="1:19" x14ac:dyDescent="0.25">
      <c r="A102" s="55"/>
      <c r="B102" s="55"/>
      <c r="C102" s="55"/>
      <c r="D102" s="174"/>
      <c r="E102" s="54"/>
      <c r="F102" s="57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1:19" x14ac:dyDescent="0.25">
      <c r="A103" s="55"/>
      <c r="B103" s="55"/>
      <c r="C103" s="55"/>
      <c r="D103" s="174"/>
      <c r="E103" s="54"/>
      <c r="F103" s="57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</row>
    <row r="104" spans="1:19" x14ac:dyDescent="0.25">
      <c r="A104" s="55"/>
      <c r="B104" s="55"/>
      <c r="C104" s="55"/>
      <c r="D104" s="174"/>
      <c r="E104" s="54"/>
      <c r="F104" s="57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</row>
    <row r="105" spans="1:19" x14ac:dyDescent="0.25">
      <c r="A105" s="55"/>
      <c r="B105" s="55"/>
      <c r="C105" s="55"/>
      <c r="D105" s="174"/>
      <c r="E105" s="54"/>
      <c r="F105" s="57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</row>
    <row r="106" spans="1:19" x14ac:dyDescent="0.25">
      <c r="A106" s="55"/>
      <c r="B106" s="55"/>
      <c r="C106" s="55"/>
      <c r="D106" s="174"/>
      <c r="E106" s="54"/>
      <c r="F106" s="57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</row>
    <row r="107" spans="1:19" x14ac:dyDescent="0.25">
      <c r="A107" s="55"/>
      <c r="B107" s="55"/>
      <c r="C107" s="55"/>
      <c r="D107" s="174"/>
      <c r="E107" s="54"/>
      <c r="F107" s="57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</row>
    <row r="108" spans="1:19" x14ac:dyDescent="0.25">
      <c r="A108" s="55"/>
      <c r="B108" s="55"/>
      <c r="C108" s="55"/>
      <c r="D108" s="174"/>
      <c r="E108" s="54"/>
      <c r="F108" s="57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</row>
    <row r="109" spans="1:19" x14ac:dyDescent="0.25">
      <c r="A109" s="55"/>
      <c r="B109" s="55"/>
      <c r="C109" s="55"/>
      <c r="D109" s="174"/>
      <c r="E109" s="54"/>
      <c r="F109" s="57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</row>
    <row r="110" spans="1:19" x14ac:dyDescent="0.25">
      <c r="A110" s="55"/>
      <c r="B110" s="55"/>
      <c r="C110" s="55"/>
      <c r="D110" s="174"/>
      <c r="E110" s="54"/>
      <c r="F110" s="57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</row>
    <row r="111" spans="1:19" x14ac:dyDescent="0.25">
      <c r="A111" s="55"/>
      <c r="B111" s="55"/>
      <c r="C111" s="55"/>
      <c r="D111" s="174"/>
      <c r="E111" s="54"/>
      <c r="F111" s="57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</row>
    <row r="112" spans="1:19" x14ac:dyDescent="0.25">
      <c r="A112" s="55"/>
      <c r="B112" s="55"/>
      <c r="C112" s="55"/>
      <c r="D112" s="174"/>
      <c r="E112" s="54"/>
      <c r="F112" s="57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</row>
    <row r="113" spans="1:19" x14ac:dyDescent="0.25">
      <c r="A113" s="55"/>
      <c r="B113" s="55"/>
      <c r="C113" s="55"/>
      <c r="D113" s="174"/>
      <c r="E113" s="54"/>
      <c r="F113" s="57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</row>
    <row r="114" spans="1:19" x14ac:dyDescent="0.25">
      <c r="A114" s="55"/>
      <c r="B114" s="55"/>
      <c r="C114" s="55"/>
      <c r="D114" s="174"/>
      <c r="E114" s="54"/>
      <c r="F114" s="57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</row>
    <row r="115" spans="1:19" x14ac:dyDescent="0.25">
      <c r="A115" s="55"/>
      <c r="B115" s="55"/>
      <c r="C115" s="55"/>
      <c r="D115" s="174"/>
      <c r="E115" s="54"/>
      <c r="F115" s="57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</row>
    <row r="116" spans="1:19" x14ac:dyDescent="0.25">
      <c r="A116" s="55"/>
      <c r="B116" s="55"/>
      <c r="C116" s="55"/>
      <c r="D116" s="174"/>
      <c r="E116" s="54"/>
      <c r="F116" s="57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</row>
    <row r="117" spans="1:19" x14ac:dyDescent="0.25">
      <c r="A117" s="55"/>
      <c r="B117" s="55"/>
      <c r="C117" s="55"/>
      <c r="D117" s="174"/>
      <c r="E117" s="54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</row>
    <row r="118" spans="1:19" x14ac:dyDescent="0.25">
      <c r="A118" s="55"/>
      <c r="B118" s="55"/>
      <c r="C118" s="55"/>
      <c r="D118" s="174"/>
      <c r="E118" s="54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</row>
    <row r="119" spans="1:19" x14ac:dyDescent="0.25">
      <c r="A119" s="55"/>
      <c r="B119" s="55"/>
      <c r="C119" s="55"/>
      <c r="D119" s="174"/>
      <c r="E119" s="54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</row>
    <row r="120" spans="1:19" x14ac:dyDescent="0.25">
      <c r="A120" s="55"/>
      <c r="B120" s="55"/>
      <c r="C120" s="55"/>
      <c r="D120" s="174"/>
      <c r="E120" s="54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</row>
    <row r="121" spans="1:19" x14ac:dyDescent="0.25">
      <c r="A121" s="55"/>
      <c r="B121" s="55"/>
      <c r="C121" s="55"/>
      <c r="D121" s="174"/>
      <c r="E121" s="54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</row>
    <row r="122" spans="1:19" x14ac:dyDescent="0.25">
      <c r="A122" s="55"/>
      <c r="B122" s="55"/>
      <c r="C122" s="55"/>
      <c r="D122" s="174"/>
      <c r="E122" s="54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</row>
    <row r="123" spans="1:19" x14ac:dyDescent="0.25">
      <c r="A123" s="55"/>
      <c r="B123" s="55"/>
      <c r="C123" s="55"/>
      <c r="D123" s="174"/>
      <c r="E123" s="54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</row>
    <row r="124" spans="1:19" x14ac:dyDescent="0.25">
      <c r="A124" s="55"/>
      <c r="B124" s="55"/>
      <c r="C124" s="55"/>
      <c r="D124" s="174"/>
      <c r="E124" s="54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</row>
    <row r="125" spans="1:19" x14ac:dyDescent="0.25">
      <c r="A125" s="55"/>
      <c r="B125" s="55"/>
      <c r="C125" s="55"/>
      <c r="D125" s="174"/>
      <c r="E125" s="54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</row>
    <row r="126" spans="1:19" x14ac:dyDescent="0.25">
      <c r="A126" s="55"/>
      <c r="B126" s="55"/>
      <c r="C126" s="55"/>
      <c r="D126" s="174"/>
      <c r="E126" s="54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</row>
    <row r="127" spans="1:19" x14ac:dyDescent="0.25">
      <c r="A127" s="55"/>
      <c r="B127" s="55"/>
      <c r="C127" s="55"/>
      <c r="D127" s="174"/>
      <c r="E127" s="54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</row>
    <row r="128" spans="1:19" x14ac:dyDescent="0.25">
      <c r="A128" s="55"/>
      <c r="B128" s="55"/>
      <c r="C128" s="55"/>
      <c r="D128" s="174"/>
      <c r="E128" s="54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</row>
    <row r="129" spans="1:19" x14ac:dyDescent="0.25">
      <c r="A129" s="55"/>
      <c r="B129" s="55"/>
      <c r="C129" s="55"/>
      <c r="D129" s="174"/>
      <c r="E129" s="54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</row>
    <row r="130" spans="1:19" x14ac:dyDescent="0.25">
      <c r="A130" s="55"/>
      <c r="B130" s="55"/>
      <c r="C130" s="55"/>
      <c r="D130" s="174"/>
      <c r="E130" s="54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</row>
    <row r="131" spans="1:19" x14ac:dyDescent="0.25">
      <c r="A131" s="55"/>
      <c r="B131" s="55"/>
      <c r="C131" s="55"/>
      <c r="D131" s="174"/>
      <c r="E131" s="54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</row>
    <row r="132" spans="1:19" x14ac:dyDescent="0.25">
      <c r="A132" s="55"/>
      <c r="B132" s="55"/>
      <c r="C132" s="55"/>
      <c r="D132" s="174"/>
      <c r="E132" s="54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</row>
    <row r="133" spans="1:19" x14ac:dyDescent="0.25">
      <c r="A133" s="55"/>
      <c r="B133" s="55"/>
      <c r="C133" s="55"/>
      <c r="D133" s="174"/>
      <c r="E133" s="54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</row>
    <row r="134" spans="1:19" x14ac:dyDescent="0.25">
      <c r="A134" s="55"/>
      <c r="B134" s="55"/>
      <c r="C134" s="55"/>
      <c r="D134" s="174"/>
      <c r="E134" s="54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</row>
    <row r="135" spans="1:19" x14ac:dyDescent="0.25">
      <c r="A135" s="55"/>
      <c r="B135" s="55"/>
      <c r="C135" s="55"/>
      <c r="D135" s="174"/>
      <c r="E135" s="54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</row>
    <row r="136" spans="1:19" x14ac:dyDescent="0.25">
      <c r="A136" s="55"/>
      <c r="B136" s="55"/>
      <c r="C136" s="55"/>
      <c r="D136" s="174"/>
      <c r="E136" s="54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</row>
    <row r="137" spans="1:19" x14ac:dyDescent="0.25">
      <c r="A137" s="55"/>
      <c r="B137" s="55"/>
      <c r="C137" s="55"/>
      <c r="D137" s="174"/>
      <c r="E137" s="54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</row>
    <row r="138" spans="1:19" x14ac:dyDescent="0.25">
      <c r="A138" s="55"/>
      <c r="B138" s="55"/>
      <c r="C138" s="55"/>
      <c r="D138" s="174"/>
      <c r="E138" s="54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</row>
    <row r="139" spans="1:19" x14ac:dyDescent="0.25">
      <c r="A139" s="55"/>
      <c r="B139" s="55"/>
      <c r="C139" s="55"/>
      <c r="D139" s="174"/>
      <c r="E139" s="54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</row>
    <row r="140" spans="1:19" x14ac:dyDescent="0.25">
      <c r="A140" s="55"/>
      <c r="B140" s="55"/>
      <c r="C140" s="55"/>
      <c r="D140" s="174"/>
      <c r="E140" s="54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</row>
    <row r="141" spans="1:19" x14ac:dyDescent="0.25">
      <c r="A141" s="55"/>
      <c r="B141" s="55"/>
      <c r="C141" s="55"/>
      <c r="D141" s="174"/>
      <c r="E141" s="54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</row>
    <row r="142" spans="1:19" x14ac:dyDescent="0.25">
      <c r="A142" s="55"/>
      <c r="B142" s="55"/>
      <c r="C142" s="55"/>
      <c r="D142" s="174"/>
      <c r="E142" s="54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</row>
    <row r="143" spans="1:19" x14ac:dyDescent="0.25">
      <c r="A143" s="55"/>
      <c r="B143" s="55"/>
      <c r="C143" s="55"/>
      <c r="D143" s="174"/>
      <c r="E143" s="54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</row>
    <row r="144" spans="1:19" x14ac:dyDescent="0.25">
      <c r="A144" s="55"/>
      <c r="B144" s="55"/>
      <c r="C144" s="55"/>
      <c r="D144" s="174"/>
      <c r="E144" s="54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</row>
    <row r="145" spans="1:19" x14ac:dyDescent="0.25">
      <c r="A145" s="55"/>
      <c r="B145" s="55"/>
      <c r="C145" s="55"/>
      <c r="D145" s="174"/>
      <c r="E145" s="54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</row>
    <row r="146" spans="1:19" x14ac:dyDescent="0.25">
      <c r="A146" s="55"/>
      <c r="B146" s="55"/>
      <c r="C146" s="55"/>
      <c r="D146" s="174"/>
      <c r="E146" s="54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</row>
    <row r="147" spans="1:19" x14ac:dyDescent="0.25">
      <c r="A147" s="55"/>
      <c r="B147" s="55"/>
      <c r="C147" s="55"/>
      <c r="D147" s="174"/>
      <c r="E147" s="54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</row>
    <row r="148" spans="1:19" x14ac:dyDescent="0.25">
      <c r="A148" s="55"/>
      <c r="B148" s="55"/>
      <c r="C148" s="55"/>
      <c r="D148" s="174"/>
      <c r="E148" s="54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</row>
    <row r="149" spans="1:19" x14ac:dyDescent="0.25">
      <c r="A149" s="55"/>
      <c r="B149" s="55"/>
      <c r="C149" s="55"/>
      <c r="D149" s="174"/>
      <c r="E149" s="54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</row>
    <row r="150" spans="1:19" x14ac:dyDescent="0.25">
      <c r="A150" s="55"/>
      <c r="B150" s="55"/>
      <c r="C150" s="55"/>
      <c r="D150" s="174"/>
      <c r="E150" s="54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</row>
    <row r="151" spans="1:19" x14ac:dyDescent="0.25">
      <c r="A151" s="55"/>
      <c r="B151" s="55"/>
      <c r="C151" s="55"/>
      <c r="D151" s="174"/>
      <c r="E151" s="54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</row>
    <row r="152" spans="1:19" x14ac:dyDescent="0.25">
      <c r="A152" s="55"/>
      <c r="B152" s="55"/>
      <c r="C152" s="55"/>
      <c r="D152" s="174"/>
      <c r="E152" s="54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</row>
    <row r="153" spans="1:19" x14ac:dyDescent="0.25">
      <c r="A153" s="55"/>
      <c r="B153" s="55"/>
      <c r="C153" s="55"/>
      <c r="D153" s="174"/>
      <c r="E153" s="54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</row>
    <row r="154" spans="1:19" x14ac:dyDescent="0.25">
      <c r="A154" s="55"/>
      <c r="B154" s="55"/>
      <c r="C154" s="55"/>
      <c r="D154" s="174"/>
      <c r="E154" s="54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</row>
    <row r="155" spans="1:19" x14ac:dyDescent="0.25">
      <c r="A155" s="55"/>
      <c r="B155" s="55"/>
      <c r="C155" s="55"/>
      <c r="D155" s="174"/>
      <c r="E155" s="54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</row>
    <row r="156" spans="1:19" x14ac:dyDescent="0.25">
      <c r="A156" s="55"/>
      <c r="B156" s="55"/>
      <c r="C156" s="55"/>
      <c r="D156" s="174"/>
      <c r="E156" s="54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</row>
    <row r="157" spans="1:19" x14ac:dyDescent="0.25">
      <c r="A157" s="55"/>
      <c r="B157" s="55"/>
      <c r="C157" s="55"/>
      <c r="D157" s="174"/>
      <c r="E157" s="54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</row>
    <row r="158" spans="1:19" x14ac:dyDescent="0.25">
      <c r="A158" s="55"/>
      <c r="B158" s="55"/>
      <c r="C158" s="55"/>
      <c r="D158" s="174"/>
      <c r="E158" s="54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</row>
    <row r="159" spans="1:19" x14ac:dyDescent="0.25">
      <c r="A159" s="55"/>
      <c r="B159" s="55"/>
      <c r="C159" s="55"/>
      <c r="D159" s="174"/>
      <c r="E159" s="54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</row>
    <row r="160" spans="1:19" x14ac:dyDescent="0.25">
      <c r="A160" s="55"/>
      <c r="B160" s="55"/>
      <c r="C160" s="55"/>
      <c r="D160" s="174"/>
      <c r="E160" s="54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</row>
    <row r="161" spans="1:19" x14ac:dyDescent="0.25">
      <c r="A161" s="55"/>
      <c r="B161" s="55"/>
      <c r="C161" s="55"/>
      <c r="D161" s="174"/>
      <c r="E161" s="54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</row>
    <row r="162" spans="1:19" x14ac:dyDescent="0.25">
      <c r="A162" s="55"/>
      <c r="B162" s="55"/>
      <c r="C162" s="55"/>
      <c r="D162" s="174"/>
      <c r="E162" s="54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</row>
    <row r="163" spans="1:19" x14ac:dyDescent="0.25">
      <c r="A163" s="55"/>
      <c r="B163" s="55"/>
      <c r="C163" s="55"/>
      <c r="D163" s="174"/>
      <c r="E163" s="54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</row>
    <row r="164" spans="1:19" x14ac:dyDescent="0.25">
      <c r="A164" s="55"/>
      <c r="B164" s="55"/>
      <c r="C164" s="55"/>
      <c r="D164" s="174"/>
      <c r="E164" s="54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</row>
    <row r="165" spans="1:19" x14ac:dyDescent="0.25">
      <c r="A165" s="55"/>
      <c r="B165" s="55"/>
      <c r="C165" s="55"/>
      <c r="D165" s="174"/>
      <c r="E165" s="54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</row>
    <row r="166" spans="1:19" x14ac:dyDescent="0.25">
      <c r="A166" s="55"/>
      <c r="B166" s="55"/>
      <c r="C166" s="55"/>
      <c r="D166" s="174"/>
      <c r="E166" s="54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</row>
    <row r="167" spans="1:19" x14ac:dyDescent="0.25">
      <c r="A167" s="55"/>
      <c r="B167" s="55"/>
      <c r="C167" s="55"/>
      <c r="D167" s="174"/>
      <c r="E167" s="54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</row>
    <row r="168" spans="1:19" x14ac:dyDescent="0.25">
      <c r="A168" s="55"/>
      <c r="B168" s="55"/>
      <c r="C168" s="55"/>
      <c r="D168" s="174"/>
      <c r="E168" s="54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</row>
    <row r="169" spans="1:19" x14ac:dyDescent="0.25">
      <c r="A169" s="55"/>
      <c r="B169" s="55"/>
      <c r="C169" s="55"/>
      <c r="D169" s="174"/>
      <c r="E169" s="54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</row>
    <row r="170" spans="1:19" x14ac:dyDescent="0.25">
      <c r="A170" s="55"/>
      <c r="B170" s="55"/>
      <c r="C170" s="55"/>
      <c r="D170" s="174"/>
      <c r="E170" s="54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</row>
    <row r="171" spans="1:19" x14ac:dyDescent="0.25">
      <c r="A171" s="55"/>
      <c r="B171" s="55"/>
      <c r="C171" s="55"/>
      <c r="D171" s="174"/>
      <c r="E171" s="54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</row>
    <row r="172" spans="1:19" x14ac:dyDescent="0.25">
      <c r="A172" s="55"/>
      <c r="B172" s="55"/>
      <c r="C172" s="55"/>
      <c r="D172" s="174"/>
      <c r="E172" s="54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</row>
    <row r="173" spans="1:19" x14ac:dyDescent="0.25">
      <c r="A173" s="55"/>
      <c r="B173" s="55"/>
      <c r="C173" s="55"/>
      <c r="D173" s="174"/>
      <c r="E173" s="54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</row>
    <row r="174" spans="1:19" x14ac:dyDescent="0.25">
      <c r="A174" s="55"/>
      <c r="B174" s="55"/>
      <c r="C174" s="55"/>
      <c r="D174" s="174"/>
      <c r="E174" s="54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</row>
    <row r="175" spans="1:19" x14ac:dyDescent="0.25">
      <c r="A175" s="55"/>
      <c r="B175" s="55"/>
      <c r="C175" s="55"/>
      <c r="D175" s="174"/>
      <c r="E175" s="54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</row>
    <row r="176" spans="1:19" x14ac:dyDescent="0.25">
      <c r="A176" s="55"/>
      <c r="B176" s="55"/>
      <c r="C176" s="55"/>
      <c r="D176" s="174"/>
      <c r="E176" s="54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</row>
    <row r="177" spans="1:19" x14ac:dyDescent="0.25">
      <c r="A177" s="55"/>
      <c r="B177" s="55"/>
      <c r="C177" s="55"/>
      <c r="D177" s="174"/>
      <c r="E177" s="54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</row>
    <row r="178" spans="1:19" x14ac:dyDescent="0.25">
      <c r="A178" s="55"/>
      <c r="B178" s="55"/>
      <c r="C178" s="55"/>
      <c r="D178" s="174"/>
      <c r="E178" s="54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</row>
    <row r="179" spans="1:19" x14ac:dyDescent="0.25">
      <c r="A179" s="55"/>
      <c r="B179" s="55"/>
      <c r="C179" s="55"/>
      <c r="D179" s="174"/>
      <c r="E179" s="54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</row>
    <row r="180" spans="1:19" x14ac:dyDescent="0.25">
      <c r="A180" s="55"/>
      <c r="B180" s="55"/>
      <c r="C180" s="55"/>
      <c r="D180" s="174"/>
      <c r="E180" s="54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</row>
    <row r="181" spans="1:19" x14ac:dyDescent="0.25">
      <c r="A181" s="55"/>
      <c r="B181" s="55"/>
      <c r="C181" s="55"/>
      <c r="D181" s="174"/>
      <c r="E181" s="54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</row>
    <row r="182" spans="1:19" x14ac:dyDescent="0.25">
      <c r="A182" s="55"/>
      <c r="B182" s="55"/>
      <c r="C182" s="55"/>
      <c r="D182" s="174"/>
      <c r="E182" s="54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</row>
    <row r="183" spans="1:19" x14ac:dyDescent="0.25">
      <c r="A183" s="55"/>
      <c r="B183" s="55"/>
      <c r="C183" s="55"/>
      <c r="D183" s="174"/>
      <c r="E183" s="54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</row>
    <row r="184" spans="1:19" x14ac:dyDescent="0.25">
      <c r="A184" s="55"/>
      <c r="B184" s="55"/>
      <c r="C184" s="55"/>
      <c r="D184" s="174"/>
      <c r="E184" s="54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</row>
    <row r="185" spans="1:19" x14ac:dyDescent="0.25">
      <c r="A185" s="55"/>
      <c r="B185" s="55"/>
      <c r="C185" s="55"/>
      <c r="D185" s="174"/>
      <c r="E185" s="54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</row>
    <row r="186" spans="1:19" x14ac:dyDescent="0.25">
      <c r="A186" s="55"/>
      <c r="B186" s="55"/>
      <c r="C186" s="55"/>
      <c r="D186" s="174"/>
      <c r="E186" s="54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</row>
    <row r="187" spans="1:19" x14ac:dyDescent="0.25">
      <c r="A187" s="55"/>
      <c r="B187" s="55"/>
      <c r="C187" s="55"/>
      <c r="D187" s="174"/>
      <c r="E187" s="54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</row>
    <row r="188" spans="1:19" x14ac:dyDescent="0.25">
      <c r="A188" s="55"/>
      <c r="B188" s="55"/>
      <c r="C188" s="55"/>
      <c r="D188" s="174"/>
      <c r="E188" s="54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</row>
    <row r="189" spans="1:19" x14ac:dyDescent="0.25">
      <c r="A189" s="55"/>
      <c r="B189" s="55"/>
      <c r="C189" s="55"/>
      <c r="D189" s="174"/>
      <c r="E189" s="54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</row>
    <row r="190" spans="1:19" x14ac:dyDescent="0.25">
      <c r="A190" s="55"/>
      <c r="B190" s="55"/>
      <c r="C190" s="55"/>
      <c r="D190" s="174"/>
      <c r="E190" s="54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</row>
    <row r="191" spans="1:19" x14ac:dyDescent="0.25">
      <c r="A191" s="55"/>
      <c r="B191" s="55"/>
      <c r="C191" s="55"/>
      <c r="D191" s="174"/>
      <c r="E191" s="54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</row>
    <row r="192" spans="1:19" x14ac:dyDescent="0.25">
      <c r="A192" s="55"/>
      <c r="B192" s="55"/>
      <c r="C192" s="55"/>
      <c r="D192" s="174"/>
      <c r="E192" s="54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</row>
    <row r="193" spans="1:19" x14ac:dyDescent="0.25">
      <c r="A193" s="55"/>
      <c r="B193" s="55"/>
      <c r="C193" s="55"/>
      <c r="D193" s="174"/>
      <c r="E193" s="54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</row>
    <row r="194" spans="1:19" x14ac:dyDescent="0.25">
      <c r="A194" s="55"/>
      <c r="B194" s="55"/>
      <c r="C194" s="55"/>
      <c r="D194" s="174"/>
      <c r="E194" s="54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</row>
    <row r="195" spans="1:19" x14ac:dyDescent="0.25">
      <c r="A195" s="55"/>
      <c r="B195" s="55"/>
      <c r="C195" s="55"/>
      <c r="D195" s="174"/>
      <c r="E195" s="54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</row>
    <row r="196" spans="1:19" x14ac:dyDescent="0.25">
      <c r="A196" s="55"/>
      <c r="B196" s="55"/>
      <c r="C196" s="55"/>
      <c r="D196" s="174"/>
      <c r="E196" s="54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</row>
    <row r="197" spans="1:19" x14ac:dyDescent="0.25">
      <c r="A197" s="55"/>
      <c r="B197" s="55"/>
      <c r="C197" s="55"/>
      <c r="D197" s="174"/>
      <c r="E197" s="54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</row>
    <row r="198" spans="1:19" x14ac:dyDescent="0.25">
      <c r="A198" s="55"/>
      <c r="B198" s="55"/>
      <c r="C198" s="55"/>
      <c r="D198" s="174"/>
      <c r="E198" s="54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</row>
    <row r="199" spans="1:19" x14ac:dyDescent="0.25">
      <c r="A199" s="55"/>
      <c r="B199" s="55"/>
      <c r="C199" s="55"/>
      <c r="D199" s="174"/>
      <c r="E199" s="54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</row>
    <row r="200" spans="1:19" x14ac:dyDescent="0.25">
      <c r="A200" s="55"/>
      <c r="B200" s="55"/>
      <c r="C200" s="55"/>
      <c r="D200" s="174"/>
      <c r="E200" s="54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</row>
    <row r="201" spans="1:19" x14ac:dyDescent="0.25">
      <c r="A201" s="55"/>
      <c r="B201" s="55"/>
      <c r="C201" s="55"/>
      <c r="D201" s="174"/>
      <c r="E201" s="54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</row>
    <row r="202" spans="1:19" x14ac:dyDescent="0.25">
      <c r="A202" s="55"/>
      <c r="B202" s="55"/>
      <c r="C202" s="55"/>
      <c r="D202" s="174"/>
      <c r="E202" s="54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</row>
    <row r="203" spans="1:19" x14ac:dyDescent="0.25">
      <c r="A203" s="55"/>
      <c r="B203" s="55"/>
      <c r="C203" s="55"/>
      <c r="D203" s="174"/>
      <c r="E203" s="54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</row>
    <row r="204" spans="1:19" x14ac:dyDescent="0.25">
      <c r="A204" s="55"/>
      <c r="B204" s="55"/>
      <c r="C204" s="55"/>
      <c r="D204" s="174"/>
      <c r="E204" s="54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</row>
    <row r="205" spans="1:19" x14ac:dyDescent="0.25">
      <c r="A205" s="55"/>
      <c r="B205" s="55"/>
      <c r="C205" s="55"/>
      <c r="D205" s="174"/>
      <c r="E205" s="54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</row>
    <row r="206" spans="1:19" x14ac:dyDescent="0.25">
      <c r="A206" s="55"/>
      <c r="B206" s="55"/>
      <c r="C206" s="55"/>
      <c r="D206" s="174"/>
      <c r="E206" s="54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</row>
    <row r="207" spans="1:19" x14ac:dyDescent="0.25">
      <c r="A207" s="55"/>
      <c r="B207" s="55"/>
      <c r="C207" s="55"/>
      <c r="D207" s="174"/>
      <c r="E207" s="54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</row>
    <row r="208" spans="1:19" x14ac:dyDescent="0.25">
      <c r="A208" s="55"/>
      <c r="B208" s="55"/>
      <c r="C208" s="55"/>
      <c r="D208" s="174"/>
      <c r="E208" s="54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</row>
    <row r="209" spans="1:19" x14ac:dyDescent="0.25">
      <c r="A209" s="55"/>
      <c r="B209" s="55"/>
      <c r="C209" s="55"/>
      <c r="D209" s="174"/>
      <c r="E209" s="54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</row>
    <row r="210" spans="1:19" x14ac:dyDescent="0.25">
      <c r="A210" s="55"/>
      <c r="B210" s="55"/>
      <c r="C210" s="55"/>
      <c r="D210" s="174"/>
      <c r="E210" s="54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</row>
    <row r="211" spans="1:19" x14ac:dyDescent="0.25">
      <c r="A211" s="55"/>
      <c r="B211" s="55"/>
      <c r="C211" s="55"/>
      <c r="D211" s="174"/>
      <c r="E211" s="54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</row>
    <row r="212" spans="1:19" x14ac:dyDescent="0.25">
      <c r="A212" s="55"/>
      <c r="B212" s="55"/>
      <c r="C212" s="55"/>
      <c r="D212" s="174"/>
      <c r="E212" s="54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</row>
    <row r="213" spans="1:19" x14ac:dyDescent="0.25">
      <c r="A213" s="55"/>
      <c r="B213" s="55"/>
      <c r="C213" s="55"/>
      <c r="D213" s="174"/>
      <c r="E213" s="54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</row>
    <row r="214" spans="1:19" x14ac:dyDescent="0.25">
      <c r="A214" s="55"/>
      <c r="B214" s="55"/>
      <c r="C214" s="55"/>
      <c r="D214" s="174"/>
      <c r="E214" s="54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</row>
    <row r="215" spans="1:19" x14ac:dyDescent="0.25">
      <c r="A215" s="55"/>
      <c r="B215" s="55"/>
      <c r="C215" s="55"/>
      <c r="D215" s="174"/>
      <c r="E215" s="54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</row>
    <row r="216" spans="1:19" x14ac:dyDescent="0.25">
      <c r="A216" s="55"/>
      <c r="B216" s="55"/>
      <c r="C216" s="55"/>
      <c r="D216" s="174"/>
      <c r="E216" s="54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</row>
    <row r="217" spans="1:19" x14ac:dyDescent="0.25">
      <c r="A217" s="55"/>
      <c r="B217" s="55"/>
      <c r="C217" s="55"/>
      <c r="D217" s="174"/>
      <c r="E217" s="54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</row>
    <row r="218" spans="1:19" x14ac:dyDescent="0.25">
      <c r="A218" s="55"/>
      <c r="B218" s="55"/>
      <c r="C218" s="55"/>
      <c r="D218" s="174"/>
      <c r="E218" s="54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</row>
    <row r="219" spans="1:19" x14ac:dyDescent="0.25">
      <c r="A219" s="55"/>
      <c r="B219" s="55"/>
      <c r="C219" s="55"/>
      <c r="D219" s="174"/>
      <c r="E219" s="54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</row>
    <row r="220" spans="1:19" x14ac:dyDescent="0.25">
      <c r="A220" s="55"/>
      <c r="B220" s="55"/>
      <c r="C220" s="55"/>
      <c r="D220" s="174"/>
      <c r="E220" s="54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</row>
    <row r="221" spans="1:19" x14ac:dyDescent="0.25">
      <c r="A221" s="55"/>
      <c r="B221" s="55"/>
      <c r="C221" s="55"/>
      <c r="D221" s="174"/>
      <c r="E221" s="54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</row>
    <row r="222" spans="1:19" x14ac:dyDescent="0.25">
      <c r="A222" s="55"/>
      <c r="B222" s="55"/>
      <c r="C222" s="55"/>
      <c r="D222" s="174"/>
      <c r="E222" s="54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</row>
    <row r="223" spans="1:19" x14ac:dyDescent="0.25">
      <c r="A223" s="55"/>
      <c r="B223" s="55"/>
      <c r="C223" s="55"/>
      <c r="D223" s="174"/>
      <c r="E223" s="54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</row>
    <row r="224" spans="1:19" x14ac:dyDescent="0.25">
      <c r="A224" s="55"/>
      <c r="B224" s="55"/>
      <c r="C224" s="55"/>
      <c r="D224" s="174"/>
      <c r="E224" s="54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</row>
    <row r="225" spans="1:19" x14ac:dyDescent="0.25">
      <c r="A225" s="55"/>
      <c r="B225" s="55"/>
      <c r="C225" s="55"/>
      <c r="D225" s="174"/>
      <c r="E225" s="54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</row>
    <row r="226" spans="1:19" x14ac:dyDescent="0.25">
      <c r="A226" s="55"/>
      <c r="B226" s="55"/>
      <c r="C226" s="55"/>
      <c r="D226" s="174"/>
      <c r="E226" s="54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</row>
    <row r="227" spans="1:19" x14ac:dyDescent="0.25">
      <c r="A227" s="55"/>
      <c r="B227" s="55"/>
      <c r="C227" s="55"/>
      <c r="D227" s="174"/>
      <c r="E227" s="54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</row>
    <row r="228" spans="1:19" x14ac:dyDescent="0.25">
      <c r="A228" s="55"/>
      <c r="B228" s="55"/>
      <c r="C228" s="55"/>
      <c r="D228" s="174"/>
      <c r="E228" s="54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</row>
    <row r="229" spans="1:19" x14ac:dyDescent="0.25">
      <c r="A229" s="55"/>
      <c r="B229" s="55"/>
      <c r="C229" s="55"/>
      <c r="D229" s="174"/>
      <c r="E229" s="54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</row>
    <row r="230" spans="1:19" x14ac:dyDescent="0.25">
      <c r="A230" s="55"/>
      <c r="B230" s="55"/>
      <c r="C230" s="55"/>
      <c r="D230" s="174"/>
      <c r="E230" s="54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</row>
    <row r="231" spans="1:19" x14ac:dyDescent="0.25">
      <c r="A231" s="55"/>
      <c r="B231" s="55"/>
      <c r="C231" s="55"/>
      <c r="D231" s="174"/>
      <c r="E231" s="54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</row>
    <row r="232" spans="1:19" x14ac:dyDescent="0.25">
      <c r="A232" s="55"/>
      <c r="B232" s="55"/>
      <c r="C232" s="55"/>
      <c r="D232" s="174"/>
      <c r="E232" s="54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</row>
    <row r="233" spans="1:19" x14ac:dyDescent="0.25">
      <c r="A233" s="55"/>
      <c r="B233" s="55"/>
      <c r="C233" s="55"/>
      <c r="D233" s="174"/>
      <c r="E233" s="54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</row>
    <row r="234" spans="1:19" x14ac:dyDescent="0.25">
      <c r="A234" s="55"/>
      <c r="B234" s="55"/>
      <c r="C234" s="55"/>
      <c r="D234" s="174"/>
      <c r="E234" s="54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</row>
    <row r="235" spans="1:19" x14ac:dyDescent="0.25">
      <c r="A235" s="55"/>
      <c r="B235" s="55"/>
      <c r="C235" s="55"/>
      <c r="D235" s="174"/>
      <c r="E235" s="54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</row>
    <row r="236" spans="1:19" x14ac:dyDescent="0.25">
      <c r="A236" s="55"/>
      <c r="B236" s="55"/>
      <c r="C236" s="55"/>
      <c r="D236" s="174"/>
      <c r="E236" s="54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</row>
    <row r="237" spans="1:19" x14ac:dyDescent="0.25">
      <c r="A237" s="55"/>
      <c r="B237" s="55"/>
      <c r="C237" s="55"/>
      <c r="D237" s="174"/>
      <c r="E237" s="54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</row>
    <row r="238" spans="1:19" x14ac:dyDescent="0.25">
      <c r="A238" s="55"/>
      <c r="B238" s="55"/>
      <c r="C238" s="55"/>
      <c r="D238" s="174"/>
      <c r="E238" s="54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</row>
    <row r="239" spans="1:19" x14ac:dyDescent="0.25">
      <c r="A239" s="55"/>
      <c r="B239" s="55"/>
      <c r="C239" s="55"/>
      <c r="D239" s="174"/>
      <c r="E239" s="54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</row>
    <row r="240" spans="1:19" x14ac:dyDescent="0.25">
      <c r="A240" s="55"/>
      <c r="B240" s="55"/>
      <c r="C240" s="55"/>
      <c r="D240" s="174"/>
      <c r="E240" s="54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</row>
    <row r="241" spans="1:19" x14ac:dyDescent="0.25">
      <c r="A241" s="55"/>
      <c r="B241" s="55"/>
      <c r="C241" s="55"/>
      <c r="D241" s="174"/>
      <c r="E241" s="54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</row>
    <row r="242" spans="1:19" x14ac:dyDescent="0.25">
      <c r="A242" s="55"/>
      <c r="B242" s="55"/>
      <c r="C242" s="55"/>
      <c r="D242" s="174"/>
      <c r="E242" s="54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</row>
    <row r="243" spans="1:19" x14ac:dyDescent="0.25">
      <c r="A243" s="55"/>
      <c r="B243" s="55"/>
      <c r="C243" s="55"/>
      <c r="D243" s="174"/>
      <c r="E243" s="54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</row>
    <row r="244" spans="1:19" x14ac:dyDescent="0.25">
      <c r="A244" s="55"/>
      <c r="B244" s="55"/>
      <c r="C244" s="55"/>
      <c r="D244" s="174"/>
      <c r="E244" s="54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</row>
    <row r="245" spans="1:19" x14ac:dyDescent="0.25">
      <c r="A245" s="55"/>
      <c r="B245" s="55"/>
      <c r="C245" s="55"/>
      <c r="D245" s="174"/>
      <c r="E245" s="54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</row>
    <row r="246" spans="1:19" x14ac:dyDescent="0.25">
      <c r="A246" s="55"/>
      <c r="B246" s="55"/>
      <c r="C246" s="55"/>
      <c r="D246" s="174"/>
      <c r="E246" s="54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</row>
    <row r="247" spans="1:19" x14ac:dyDescent="0.25">
      <c r="A247" s="55"/>
      <c r="B247" s="55"/>
      <c r="C247" s="55"/>
      <c r="D247" s="174"/>
      <c r="E247" s="54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</row>
    <row r="248" spans="1:19" x14ac:dyDescent="0.25">
      <c r="A248" s="55"/>
      <c r="B248" s="55"/>
      <c r="C248" s="55"/>
      <c r="D248" s="174"/>
      <c r="E248" s="54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</row>
    <row r="249" spans="1:19" x14ac:dyDescent="0.25">
      <c r="A249" s="55"/>
      <c r="B249" s="55"/>
      <c r="C249" s="55"/>
      <c r="D249" s="174"/>
      <c r="E249" s="54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</row>
    <row r="250" spans="1:19" x14ac:dyDescent="0.25">
      <c r="A250" s="55"/>
      <c r="B250" s="55"/>
      <c r="C250" s="55"/>
      <c r="D250" s="174"/>
      <c r="E250" s="54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</row>
    <row r="251" spans="1:19" x14ac:dyDescent="0.25">
      <c r="A251" s="55"/>
      <c r="B251" s="55"/>
      <c r="C251" s="55"/>
      <c r="D251" s="174"/>
      <c r="E251" s="54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</row>
    <row r="252" spans="1:19" x14ac:dyDescent="0.25">
      <c r="A252" s="55"/>
      <c r="B252" s="55"/>
      <c r="C252" s="55"/>
      <c r="D252" s="174"/>
      <c r="E252" s="54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</row>
    <row r="253" spans="1:19" x14ac:dyDescent="0.25">
      <c r="A253" s="55"/>
      <c r="B253" s="55"/>
      <c r="C253" s="55"/>
      <c r="D253" s="174"/>
      <c r="E253" s="54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</row>
    <row r="254" spans="1:19" x14ac:dyDescent="0.25">
      <c r="A254" s="55"/>
      <c r="B254" s="55"/>
      <c r="C254" s="55"/>
      <c r="D254" s="174"/>
      <c r="E254" s="54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</row>
    <row r="255" spans="1:19" x14ac:dyDescent="0.25">
      <c r="A255" s="55"/>
      <c r="B255" s="55"/>
      <c r="C255" s="55"/>
      <c r="D255" s="174"/>
      <c r="E255" s="54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</row>
    <row r="256" spans="1:19" x14ac:dyDescent="0.25">
      <c r="A256" s="55"/>
      <c r="B256" s="55"/>
      <c r="C256" s="55"/>
      <c r="D256" s="174"/>
      <c r="E256" s="54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</row>
    <row r="257" spans="1:19" x14ac:dyDescent="0.25">
      <c r="A257" s="55"/>
      <c r="B257" s="55"/>
      <c r="C257" s="55"/>
      <c r="D257" s="174"/>
      <c r="E257" s="54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</row>
    <row r="258" spans="1:19" x14ac:dyDescent="0.25">
      <c r="A258" s="55"/>
      <c r="B258" s="55"/>
      <c r="C258" s="55"/>
      <c r="D258" s="174"/>
      <c r="E258" s="54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</row>
    <row r="259" spans="1:19" x14ac:dyDescent="0.25">
      <c r="A259" s="55"/>
      <c r="B259" s="55"/>
      <c r="C259" s="55"/>
      <c r="D259" s="174"/>
      <c r="E259" s="54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</row>
    <row r="260" spans="1:19" x14ac:dyDescent="0.25">
      <c r="A260" s="55"/>
      <c r="B260" s="55"/>
      <c r="C260" s="55"/>
      <c r="D260" s="174"/>
      <c r="E260" s="54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</row>
    <row r="261" spans="1:19" x14ac:dyDescent="0.25">
      <c r="A261" s="55"/>
      <c r="B261" s="55"/>
      <c r="C261" s="55"/>
      <c r="D261" s="174"/>
      <c r="E261" s="54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</row>
    <row r="262" spans="1:19" x14ac:dyDescent="0.25">
      <c r="A262" s="55"/>
      <c r="B262" s="55"/>
      <c r="C262" s="55"/>
      <c r="D262" s="174"/>
      <c r="E262" s="54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</row>
    <row r="263" spans="1:19" x14ac:dyDescent="0.25">
      <c r="A263" s="55"/>
      <c r="B263" s="55"/>
      <c r="C263" s="55"/>
      <c r="D263" s="174"/>
      <c r="E263" s="54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</row>
    <row r="264" spans="1:19" x14ac:dyDescent="0.25">
      <c r="A264" s="55"/>
      <c r="B264" s="55"/>
      <c r="C264" s="55"/>
      <c r="D264" s="174"/>
      <c r="E264" s="54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</row>
    <row r="265" spans="1:19" x14ac:dyDescent="0.25">
      <c r="A265" s="55"/>
      <c r="B265" s="55"/>
      <c r="C265" s="55"/>
      <c r="D265" s="174"/>
      <c r="E265" s="54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</row>
    <row r="266" spans="1:19" x14ac:dyDescent="0.25">
      <c r="A266" s="55"/>
      <c r="B266" s="55"/>
      <c r="C266" s="55"/>
      <c r="D266" s="174"/>
      <c r="E266" s="54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</row>
    <row r="267" spans="1:19" x14ac:dyDescent="0.25">
      <c r="A267" s="55"/>
      <c r="B267" s="55"/>
      <c r="C267" s="55"/>
      <c r="D267" s="174"/>
      <c r="E267" s="54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</row>
    <row r="268" spans="1:19" x14ac:dyDescent="0.25">
      <c r="A268" s="55"/>
      <c r="B268" s="55"/>
      <c r="C268" s="55"/>
      <c r="D268" s="174"/>
      <c r="E268" s="54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</row>
    <row r="269" spans="1:19" x14ac:dyDescent="0.25">
      <c r="A269" s="55"/>
      <c r="B269" s="55"/>
      <c r="C269" s="55"/>
      <c r="D269" s="174"/>
      <c r="E269" s="54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</row>
    <row r="270" spans="1:19" x14ac:dyDescent="0.25">
      <c r="A270" s="55"/>
      <c r="B270" s="55"/>
      <c r="C270" s="55"/>
      <c r="D270" s="174"/>
      <c r="E270" s="54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</row>
    <row r="271" spans="1:19" x14ac:dyDescent="0.25">
      <c r="A271" s="55"/>
      <c r="B271" s="55"/>
      <c r="C271" s="55"/>
      <c r="D271" s="174"/>
      <c r="E271" s="54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</row>
    <row r="272" spans="1:19" x14ac:dyDescent="0.25">
      <c r="A272" s="55"/>
      <c r="B272" s="55"/>
      <c r="C272" s="55"/>
      <c r="D272" s="174"/>
      <c r="E272" s="54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</row>
    <row r="273" spans="1:19" x14ac:dyDescent="0.25">
      <c r="A273" s="55"/>
      <c r="B273" s="55"/>
      <c r="C273" s="55"/>
      <c r="D273" s="174"/>
      <c r="E273" s="54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</row>
    <row r="274" spans="1:19" x14ac:dyDescent="0.25">
      <c r="A274" s="55"/>
      <c r="B274" s="55"/>
      <c r="C274" s="55"/>
      <c r="D274" s="174"/>
      <c r="E274" s="54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</row>
    <row r="275" spans="1:19" x14ac:dyDescent="0.25">
      <c r="A275" s="55"/>
      <c r="B275" s="55"/>
      <c r="C275" s="55"/>
      <c r="D275" s="174"/>
      <c r="E275" s="54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</row>
    <row r="276" spans="1:19" x14ac:dyDescent="0.25">
      <c r="A276" s="55"/>
      <c r="B276" s="55"/>
      <c r="C276" s="55"/>
      <c r="D276" s="174"/>
      <c r="E276" s="54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</row>
    <row r="277" spans="1:19" x14ac:dyDescent="0.25">
      <c r="A277" s="55"/>
      <c r="B277" s="55"/>
      <c r="C277" s="55"/>
      <c r="D277" s="174"/>
      <c r="E277" s="54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</row>
    <row r="278" spans="1:19" x14ac:dyDescent="0.25">
      <c r="A278" s="55"/>
      <c r="B278" s="55"/>
      <c r="C278" s="55"/>
      <c r="D278" s="174"/>
      <c r="E278" s="54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</row>
    <row r="279" spans="1:19" x14ac:dyDescent="0.25">
      <c r="A279" s="55"/>
      <c r="B279" s="55"/>
      <c r="C279" s="55"/>
      <c r="D279" s="174"/>
      <c r="E279" s="54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</row>
    <row r="280" spans="1:19" x14ac:dyDescent="0.25">
      <c r="A280" s="55"/>
      <c r="B280" s="55"/>
      <c r="C280" s="55"/>
      <c r="D280" s="174"/>
      <c r="E280" s="54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</row>
    <row r="281" spans="1:19" x14ac:dyDescent="0.25">
      <c r="A281" s="55"/>
      <c r="B281" s="55"/>
      <c r="C281" s="55"/>
      <c r="D281" s="174"/>
      <c r="E281" s="54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</row>
    <row r="282" spans="1:19" x14ac:dyDescent="0.25">
      <c r="A282" s="55"/>
      <c r="B282" s="55"/>
      <c r="C282" s="55"/>
      <c r="D282" s="174"/>
      <c r="E282" s="54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</row>
    <row r="283" spans="1:19" x14ac:dyDescent="0.25">
      <c r="A283" s="55"/>
      <c r="B283" s="55"/>
      <c r="C283" s="55"/>
      <c r="D283" s="174"/>
      <c r="E283" s="54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</row>
    <row r="284" spans="1:19" x14ac:dyDescent="0.25">
      <c r="A284" s="55"/>
      <c r="B284" s="55"/>
      <c r="C284" s="55"/>
      <c r="D284" s="174"/>
      <c r="E284" s="54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</row>
    <row r="285" spans="1:19" x14ac:dyDescent="0.25">
      <c r="A285" s="55"/>
      <c r="B285" s="55"/>
      <c r="C285" s="55"/>
      <c r="D285" s="174"/>
      <c r="E285" s="54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</row>
    <row r="286" spans="1:19" x14ac:dyDescent="0.25">
      <c r="A286" s="55"/>
      <c r="B286" s="55"/>
      <c r="C286" s="55"/>
      <c r="D286" s="174"/>
      <c r="E286" s="54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</row>
    <row r="287" spans="1:19" x14ac:dyDescent="0.25">
      <c r="A287" s="55"/>
      <c r="B287" s="55"/>
      <c r="C287" s="55"/>
      <c r="D287" s="174"/>
      <c r="E287" s="54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</row>
    <row r="288" spans="1:19" x14ac:dyDescent="0.25">
      <c r="A288" s="55"/>
      <c r="B288" s="55"/>
      <c r="C288" s="55"/>
      <c r="D288" s="174"/>
      <c r="E288" s="54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</row>
    <row r="289" spans="1:19" x14ac:dyDescent="0.25">
      <c r="A289" s="55"/>
      <c r="B289" s="55"/>
      <c r="C289" s="55"/>
      <c r="D289" s="174"/>
      <c r="E289" s="54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</row>
    <row r="290" spans="1:19" x14ac:dyDescent="0.25">
      <c r="A290" s="55"/>
      <c r="B290" s="55"/>
      <c r="C290" s="55"/>
      <c r="D290" s="174"/>
      <c r="E290" s="54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</row>
    <row r="291" spans="1:19" x14ac:dyDescent="0.25">
      <c r="A291" s="55"/>
      <c r="B291" s="55"/>
      <c r="C291" s="55"/>
      <c r="D291" s="174"/>
      <c r="E291" s="54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</row>
    <row r="292" spans="1:19" x14ac:dyDescent="0.25">
      <c r="A292" s="55"/>
      <c r="B292" s="55"/>
      <c r="C292" s="55"/>
      <c r="D292" s="174"/>
      <c r="E292" s="54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</row>
    <row r="293" spans="1:19" x14ac:dyDescent="0.25">
      <c r="A293" s="55"/>
      <c r="B293" s="55"/>
      <c r="C293" s="55"/>
      <c r="D293" s="174"/>
      <c r="E293" s="54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</row>
    <row r="294" spans="1:19" x14ac:dyDescent="0.25">
      <c r="A294" s="55"/>
      <c r="B294" s="55"/>
      <c r="C294" s="55"/>
      <c r="D294" s="174"/>
      <c r="E294" s="54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</row>
    <row r="295" spans="1:19" x14ac:dyDescent="0.25">
      <c r="A295" s="55"/>
      <c r="B295" s="55"/>
      <c r="C295" s="55"/>
      <c r="D295" s="174"/>
      <c r="E295" s="54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</row>
    <row r="296" spans="1:19" x14ac:dyDescent="0.25">
      <c r="A296" s="55"/>
      <c r="B296" s="55"/>
      <c r="C296" s="55"/>
      <c r="D296" s="174"/>
      <c r="E296" s="54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</row>
    <row r="297" spans="1:19" x14ac:dyDescent="0.25">
      <c r="A297" s="55"/>
      <c r="B297" s="55"/>
      <c r="C297" s="55"/>
      <c r="D297" s="174"/>
      <c r="E297" s="54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</row>
    <row r="298" spans="1:19" x14ac:dyDescent="0.25">
      <c r="A298" s="55"/>
      <c r="B298" s="55"/>
      <c r="C298" s="55"/>
      <c r="D298" s="174"/>
      <c r="E298" s="54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</row>
    <row r="299" spans="1:19" x14ac:dyDescent="0.25">
      <c r="A299" s="55"/>
      <c r="B299" s="55"/>
      <c r="C299" s="55"/>
      <c r="D299" s="174"/>
      <c r="E299" s="54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</row>
    <row r="300" spans="1:19" x14ac:dyDescent="0.25">
      <c r="A300" s="55"/>
      <c r="B300" s="55"/>
      <c r="C300" s="55"/>
      <c r="D300" s="174"/>
      <c r="E300" s="54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</row>
    <row r="301" spans="1:19" x14ac:dyDescent="0.25">
      <c r="A301" s="55"/>
      <c r="B301" s="55"/>
      <c r="C301" s="55"/>
      <c r="D301" s="174"/>
      <c r="E301" s="54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</row>
    <row r="302" spans="1:19" x14ac:dyDescent="0.25">
      <c r="A302" s="55"/>
      <c r="B302" s="55"/>
      <c r="C302" s="55"/>
      <c r="D302" s="174"/>
      <c r="E302" s="54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</row>
    <row r="303" spans="1:19" x14ac:dyDescent="0.25">
      <c r="A303" s="55"/>
      <c r="B303" s="55"/>
      <c r="C303" s="55"/>
      <c r="D303" s="174"/>
      <c r="E303" s="54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</row>
    <row r="304" spans="1:19" x14ac:dyDescent="0.25">
      <c r="A304" s="55"/>
      <c r="B304" s="55"/>
      <c r="C304" s="55"/>
      <c r="D304" s="174"/>
      <c r="E304" s="54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</row>
    <row r="305" spans="1:19" x14ac:dyDescent="0.25">
      <c r="A305" s="55"/>
      <c r="B305" s="55"/>
      <c r="C305" s="55"/>
      <c r="D305" s="174"/>
      <c r="E305" s="54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</row>
    <row r="306" spans="1:19" x14ac:dyDescent="0.25">
      <c r="A306" s="55"/>
      <c r="B306" s="55"/>
      <c r="C306" s="55"/>
      <c r="D306" s="174"/>
      <c r="E306" s="54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</row>
    <row r="307" spans="1:19" x14ac:dyDescent="0.25">
      <c r="A307" s="55"/>
      <c r="B307" s="55"/>
      <c r="C307" s="55"/>
      <c r="D307" s="174"/>
      <c r="E307" s="54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</row>
    <row r="308" spans="1:19" x14ac:dyDescent="0.25">
      <c r="A308" s="55"/>
      <c r="B308" s="55"/>
      <c r="C308" s="55"/>
      <c r="D308" s="174"/>
      <c r="E308" s="54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</row>
    <row r="309" spans="1:19" x14ac:dyDescent="0.25">
      <c r="A309" s="55"/>
      <c r="B309" s="55"/>
      <c r="C309" s="55"/>
      <c r="D309" s="174"/>
      <c r="E309" s="54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</row>
    <row r="310" spans="1:19" x14ac:dyDescent="0.25">
      <c r="A310" s="55"/>
      <c r="B310" s="55"/>
      <c r="C310" s="55"/>
      <c r="D310" s="174"/>
      <c r="E310" s="54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</row>
    <row r="311" spans="1:19" x14ac:dyDescent="0.25">
      <c r="A311" s="55"/>
      <c r="B311" s="55"/>
      <c r="C311" s="55"/>
      <c r="D311" s="174"/>
      <c r="E311" s="54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</row>
    <row r="312" spans="1:19" x14ac:dyDescent="0.25">
      <c r="A312" s="55"/>
      <c r="B312" s="55"/>
      <c r="C312" s="55"/>
      <c r="D312" s="174"/>
      <c r="E312" s="54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</row>
    <row r="313" spans="1:19" x14ac:dyDescent="0.25">
      <c r="A313" s="55"/>
      <c r="B313" s="55"/>
      <c r="C313" s="55"/>
      <c r="D313" s="174"/>
      <c r="E313" s="54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</row>
    <row r="314" spans="1:19" x14ac:dyDescent="0.25">
      <c r="A314" s="55"/>
      <c r="B314" s="55"/>
      <c r="C314" s="55"/>
      <c r="D314" s="174"/>
      <c r="E314" s="54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</row>
    <row r="315" spans="1:19" x14ac:dyDescent="0.25">
      <c r="A315" s="55"/>
      <c r="B315" s="55"/>
      <c r="C315" s="55"/>
      <c r="D315" s="174"/>
      <c r="E315" s="54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</row>
    <row r="316" spans="1:19" x14ac:dyDescent="0.25">
      <c r="A316" s="55"/>
      <c r="B316" s="55"/>
      <c r="C316" s="55"/>
      <c r="D316" s="174"/>
      <c r="E316" s="54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</row>
    <row r="317" spans="1:19" x14ac:dyDescent="0.25">
      <c r="A317" s="55"/>
      <c r="B317" s="55"/>
      <c r="C317" s="55"/>
      <c r="D317" s="174"/>
      <c r="E317" s="54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</row>
    <row r="318" spans="1:19" x14ac:dyDescent="0.25">
      <c r="A318" s="55"/>
      <c r="B318" s="55"/>
      <c r="C318" s="55"/>
      <c r="D318" s="174"/>
      <c r="E318" s="54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</row>
    <row r="319" spans="1:19" x14ac:dyDescent="0.25">
      <c r="A319" s="55"/>
      <c r="B319" s="55"/>
      <c r="C319" s="55"/>
      <c r="D319" s="174"/>
      <c r="E319" s="54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</row>
    <row r="320" spans="1:19" x14ac:dyDescent="0.25">
      <c r="A320" s="55"/>
      <c r="B320" s="55"/>
      <c r="C320" s="55"/>
      <c r="D320" s="174"/>
      <c r="E320" s="54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</row>
    <row r="321" spans="1:19" x14ac:dyDescent="0.25">
      <c r="A321" s="55"/>
      <c r="B321" s="55"/>
      <c r="C321" s="55"/>
      <c r="D321" s="174"/>
      <c r="E321" s="54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</row>
    <row r="322" spans="1:19" x14ac:dyDescent="0.25">
      <c r="A322" s="55"/>
      <c r="B322" s="55"/>
      <c r="C322" s="55"/>
      <c r="D322" s="174"/>
      <c r="E322" s="54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</row>
    <row r="323" spans="1:19" x14ac:dyDescent="0.25">
      <c r="A323" s="55"/>
      <c r="B323" s="55"/>
      <c r="C323" s="55"/>
      <c r="D323" s="174"/>
      <c r="E323" s="54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</row>
    <row r="324" spans="1:19" x14ac:dyDescent="0.25">
      <c r="A324" s="55"/>
      <c r="B324" s="55"/>
      <c r="C324" s="55"/>
      <c r="D324" s="174"/>
      <c r="E324" s="54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</row>
    <row r="325" spans="1:19" x14ac:dyDescent="0.25">
      <c r="A325" s="55"/>
      <c r="B325" s="55"/>
      <c r="C325" s="55"/>
      <c r="D325" s="174"/>
      <c r="E325" s="54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</row>
    <row r="326" spans="1:19" x14ac:dyDescent="0.25">
      <c r="A326" s="55"/>
      <c r="B326" s="55"/>
      <c r="C326" s="55"/>
      <c r="D326" s="174"/>
      <c r="E326" s="54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</row>
    <row r="327" spans="1:19" x14ac:dyDescent="0.25">
      <c r="A327" s="55"/>
      <c r="B327" s="55"/>
      <c r="C327" s="55"/>
      <c r="D327" s="174"/>
      <c r="E327" s="54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</row>
    <row r="328" spans="1:19" x14ac:dyDescent="0.25">
      <c r="A328" s="55"/>
      <c r="B328" s="55"/>
      <c r="C328" s="55"/>
      <c r="D328" s="174"/>
      <c r="E328" s="54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</row>
    <row r="329" spans="1:19" x14ac:dyDescent="0.25">
      <c r="A329" s="55"/>
      <c r="B329" s="55"/>
      <c r="C329" s="55"/>
      <c r="D329" s="174"/>
      <c r="E329" s="54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</row>
    <row r="330" spans="1:19" x14ac:dyDescent="0.25">
      <c r="A330" s="55"/>
      <c r="B330" s="55"/>
      <c r="C330" s="55"/>
      <c r="D330" s="174"/>
      <c r="E330" s="54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</row>
    <row r="331" spans="1:19" x14ac:dyDescent="0.25">
      <c r="A331" s="55"/>
      <c r="B331" s="55"/>
      <c r="C331" s="55"/>
      <c r="D331" s="174"/>
      <c r="E331" s="54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</row>
    <row r="332" spans="1:19" x14ac:dyDescent="0.25">
      <c r="A332" s="55"/>
      <c r="B332" s="55"/>
      <c r="C332" s="55"/>
      <c r="D332" s="174"/>
      <c r="E332" s="54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</row>
    <row r="333" spans="1:19" x14ac:dyDescent="0.25">
      <c r="A333" s="55"/>
      <c r="B333" s="55"/>
      <c r="C333" s="55"/>
      <c r="D333" s="174"/>
      <c r="E333" s="54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</row>
    <row r="334" spans="1:19" x14ac:dyDescent="0.25">
      <c r="A334" s="55"/>
      <c r="B334" s="55"/>
      <c r="C334" s="55"/>
      <c r="D334" s="174"/>
      <c r="E334" s="54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</row>
    <row r="335" spans="1:19" x14ac:dyDescent="0.25">
      <c r="A335" s="55"/>
      <c r="B335" s="55"/>
      <c r="C335" s="55"/>
      <c r="D335" s="174"/>
      <c r="E335" s="54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</row>
    <row r="336" spans="1:19" x14ac:dyDescent="0.25">
      <c r="A336" s="55"/>
      <c r="B336" s="55"/>
      <c r="C336" s="55"/>
      <c r="D336" s="174"/>
      <c r="E336" s="54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</row>
    <row r="337" spans="1:19" x14ac:dyDescent="0.25">
      <c r="A337" s="55"/>
      <c r="B337" s="55"/>
      <c r="C337" s="55"/>
      <c r="D337" s="174"/>
      <c r="E337" s="54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</row>
    <row r="338" spans="1:19" x14ac:dyDescent="0.25">
      <c r="A338" s="55"/>
      <c r="B338" s="55"/>
      <c r="C338" s="55"/>
      <c r="D338" s="174"/>
      <c r="E338" s="54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</row>
    <row r="339" spans="1:19" x14ac:dyDescent="0.25">
      <c r="A339" s="55"/>
      <c r="B339" s="55"/>
      <c r="C339" s="55"/>
      <c r="D339" s="174"/>
      <c r="E339" s="54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</row>
    <row r="340" spans="1:19" x14ac:dyDescent="0.25">
      <c r="A340" s="55"/>
      <c r="B340" s="55"/>
      <c r="C340" s="55"/>
      <c r="D340" s="174"/>
      <c r="E340" s="54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</row>
    <row r="341" spans="1:19" x14ac:dyDescent="0.25">
      <c r="A341" s="55"/>
      <c r="B341" s="55"/>
      <c r="C341" s="55"/>
      <c r="D341" s="174"/>
      <c r="E341" s="54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</row>
    <row r="342" spans="1:19" x14ac:dyDescent="0.25">
      <c r="A342" s="55"/>
      <c r="B342" s="55"/>
      <c r="C342" s="55"/>
      <c r="D342" s="174"/>
      <c r="E342" s="54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</row>
    <row r="343" spans="1:19" x14ac:dyDescent="0.25">
      <c r="A343" s="55"/>
      <c r="B343" s="55"/>
      <c r="C343" s="55"/>
      <c r="D343" s="174"/>
      <c r="E343" s="54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</row>
    <row r="344" spans="1:19" x14ac:dyDescent="0.25">
      <c r="A344" s="55"/>
      <c r="B344" s="55"/>
      <c r="C344" s="55"/>
      <c r="D344" s="174"/>
      <c r="E344" s="54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</row>
    <row r="345" spans="1:19" x14ac:dyDescent="0.25">
      <c r="A345" s="55"/>
      <c r="B345" s="55"/>
      <c r="C345" s="55"/>
      <c r="D345" s="174"/>
      <c r="E345" s="54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</row>
    <row r="346" spans="1:19" x14ac:dyDescent="0.25">
      <c r="A346" s="55"/>
      <c r="B346" s="55"/>
      <c r="C346" s="55"/>
      <c r="D346" s="174"/>
      <c r="E346" s="54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</row>
    <row r="347" spans="1:19" x14ac:dyDescent="0.25">
      <c r="A347" s="55"/>
      <c r="B347" s="55"/>
      <c r="C347" s="55"/>
      <c r="D347" s="174"/>
      <c r="E347" s="54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</row>
    <row r="348" spans="1:19" x14ac:dyDescent="0.25">
      <c r="A348" s="55"/>
      <c r="B348" s="55"/>
      <c r="C348" s="55"/>
      <c r="D348" s="174"/>
      <c r="E348" s="54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</row>
    <row r="349" spans="1:19" x14ac:dyDescent="0.25">
      <c r="A349" s="55"/>
      <c r="B349" s="55"/>
      <c r="C349" s="55"/>
      <c r="D349" s="174"/>
      <c r="E349" s="54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</row>
    <row r="350" spans="1:19" x14ac:dyDescent="0.25">
      <c r="A350" s="55"/>
      <c r="B350" s="55"/>
      <c r="C350" s="55"/>
      <c r="D350" s="174"/>
      <c r="E350" s="54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</row>
    <row r="351" spans="1:19" x14ac:dyDescent="0.25">
      <c r="A351" s="55"/>
      <c r="B351" s="55"/>
      <c r="C351" s="55"/>
      <c r="D351" s="174"/>
      <c r="E351" s="54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</row>
    <row r="352" spans="1:19" x14ac:dyDescent="0.25">
      <c r="A352" s="55"/>
      <c r="B352" s="55"/>
      <c r="C352" s="55"/>
      <c r="D352" s="174"/>
      <c r="E352" s="54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</row>
    <row r="353" spans="1:19" x14ac:dyDescent="0.25">
      <c r="A353" s="55"/>
      <c r="B353" s="55"/>
      <c r="C353" s="55"/>
      <c r="D353" s="174"/>
      <c r="E353" s="54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</row>
    <row r="354" spans="1:19" x14ac:dyDescent="0.25">
      <c r="A354" s="55"/>
      <c r="B354" s="55"/>
      <c r="C354" s="55"/>
      <c r="D354" s="174"/>
      <c r="E354" s="54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</row>
    <row r="355" spans="1:19" x14ac:dyDescent="0.25">
      <c r="A355" s="55"/>
      <c r="B355" s="55"/>
      <c r="C355" s="55"/>
      <c r="D355" s="174"/>
      <c r="E355" s="54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</row>
    <row r="356" spans="1:19" x14ac:dyDescent="0.25">
      <c r="A356" s="55"/>
      <c r="B356" s="55"/>
      <c r="C356" s="55"/>
      <c r="D356" s="174"/>
      <c r="E356" s="54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</row>
    <row r="357" spans="1:19" x14ac:dyDescent="0.25">
      <c r="A357" s="55"/>
      <c r="B357" s="55"/>
      <c r="C357" s="55"/>
      <c r="D357" s="174"/>
      <c r="E357" s="54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</row>
    <row r="358" spans="1:19" x14ac:dyDescent="0.25">
      <c r="A358" s="55"/>
      <c r="B358" s="55"/>
      <c r="C358" s="55"/>
      <c r="D358" s="174"/>
      <c r="E358" s="54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</row>
    <row r="359" spans="1:19" x14ac:dyDescent="0.25">
      <c r="A359" s="55"/>
      <c r="B359" s="55"/>
      <c r="C359" s="55"/>
      <c r="D359" s="174"/>
      <c r="E359" s="54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</row>
    <row r="360" spans="1:19" x14ac:dyDescent="0.25">
      <c r="A360" s="55"/>
      <c r="B360" s="55"/>
      <c r="C360" s="55"/>
      <c r="D360" s="174"/>
      <c r="E360" s="54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</row>
    <row r="361" spans="1:19" x14ac:dyDescent="0.25">
      <c r="A361" s="55"/>
      <c r="B361" s="55"/>
      <c r="C361" s="55"/>
      <c r="D361" s="174"/>
      <c r="E361" s="54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</row>
    <row r="362" spans="1:19" x14ac:dyDescent="0.25">
      <c r="A362" s="55"/>
      <c r="B362" s="55"/>
      <c r="C362" s="55"/>
      <c r="D362" s="174"/>
      <c r="E362" s="54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</row>
    <row r="363" spans="1:19" x14ac:dyDescent="0.25">
      <c r="A363" s="55"/>
      <c r="B363" s="55"/>
      <c r="C363" s="55"/>
      <c r="D363" s="174"/>
      <c r="E363" s="54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</row>
    <row r="364" spans="1:19" x14ac:dyDescent="0.25">
      <c r="A364" s="55"/>
      <c r="B364" s="55"/>
      <c r="C364" s="55"/>
      <c r="D364" s="174"/>
      <c r="E364" s="54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</row>
    <row r="365" spans="1:19" x14ac:dyDescent="0.25">
      <c r="A365" s="55"/>
      <c r="B365" s="55"/>
      <c r="C365" s="55"/>
      <c r="D365" s="174"/>
      <c r="E365" s="54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</row>
    <row r="366" spans="1:19" x14ac:dyDescent="0.25">
      <c r="A366" s="55"/>
      <c r="B366" s="55"/>
      <c r="C366" s="55"/>
      <c r="D366" s="174"/>
      <c r="E366" s="54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</row>
    <row r="367" spans="1:19" x14ac:dyDescent="0.25">
      <c r="A367" s="55"/>
      <c r="B367" s="55"/>
      <c r="C367" s="55"/>
      <c r="D367" s="174"/>
      <c r="E367" s="54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</row>
    <row r="368" spans="1:19" x14ac:dyDescent="0.25">
      <c r="A368" s="55"/>
      <c r="B368" s="55"/>
      <c r="C368" s="55"/>
      <c r="D368" s="174"/>
      <c r="E368" s="54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</row>
    <row r="369" spans="1:19" x14ac:dyDescent="0.25">
      <c r="A369" s="55"/>
      <c r="B369" s="55"/>
      <c r="C369" s="55"/>
      <c r="D369" s="174"/>
      <c r="E369" s="54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</row>
    <row r="370" spans="1:19" x14ac:dyDescent="0.25">
      <c r="A370" s="55"/>
      <c r="B370" s="55"/>
      <c r="C370" s="55"/>
      <c r="D370" s="174"/>
      <c r="E370" s="54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</row>
    <row r="371" spans="1:19" x14ac:dyDescent="0.25">
      <c r="A371" s="55"/>
      <c r="B371" s="55"/>
      <c r="C371" s="55"/>
      <c r="D371" s="174"/>
      <c r="E371" s="54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</row>
    <row r="372" spans="1:19" x14ac:dyDescent="0.25">
      <c r="A372" s="55"/>
      <c r="B372" s="55"/>
      <c r="C372" s="55"/>
      <c r="D372" s="174"/>
      <c r="E372" s="54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</row>
    <row r="373" spans="1:19" x14ac:dyDescent="0.25">
      <c r="A373" s="55"/>
      <c r="B373" s="55"/>
      <c r="C373" s="55"/>
      <c r="D373" s="174"/>
      <c r="E373" s="54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</row>
    <row r="374" spans="1:19" x14ac:dyDescent="0.25">
      <c r="A374" s="55"/>
      <c r="B374" s="55"/>
      <c r="C374" s="55"/>
      <c r="D374" s="174"/>
      <c r="E374" s="54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</row>
    <row r="375" spans="1:19" x14ac:dyDescent="0.25">
      <c r="A375" s="55"/>
      <c r="B375" s="55"/>
      <c r="C375" s="55"/>
      <c r="D375" s="174"/>
      <c r="E375" s="54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</row>
    <row r="376" spans="1:19" x14ac:dyDescent="0.25">
      <c r="A376" s="55"/>
      <c r="B376" s="55"/>
      <c r="C376" s="55"/>
      <c r="D376" s="174"/>
      <c r="E376" s="54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</row>
    <row r="377" spans="1:19" x14ac:dyDescent="0.25">
      <c r="A377" s="55"/>
      <c r="B377" s="55"/>
      <c r="C377" s="55"/>
      <c r="D377" s="174"/>
      <c r="E377" s="54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</row>
    <row r="378" spans="1:19" x14ac:dyDescent="0.25">
      <c r="A378" s="55"/>
      <c r="B378" s="55"/>
      <c r="C378" s="55"/>
      <c r="D378" s="174"/>
      <c r="E378" s="54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</row>
    <row r="379" spans="1:19" x14ac:dyDescent="0.25">
      <c r="A379" s="55"/>
      <c r="B379" s="55"/>
      <c r="C379" s="55"/>
      <c r="D379" s="174"/>
      <c r="E379" s="54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</row>
    <row r="380" spans="1:19" x14ac:dyDescent="0.25">
      <c r="A380" s="55"/>
      <c r="B380" s="55"/>
      <c r="C380" s="55"/>
      <c r="D380" s="174"/>
      <c r="E380" s="54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</row>
    <row r="381" spans="1:19" x14ac:dyDescent="0.25">
      <c r="A381" s="55"/>
      <c r="B381" s="55"/>
      <c r="C381" s="55"/>
      <c r="D381" s="174"/>
      <c r="E381" s="54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</row>
    <row r="382" spans="1:19" x14ac:dyDescent="0.25">
      <c r="A382" s="55"/>
      <c r="B382" s="55"/>
      <c r="C382" s="55"/>
      <c r="D382" s="174"/>
      <c r="E382" s="54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</row>
    <row r="383" spans="1:19" x14ac:dyDescent="0.25">
      <c r="A383" s="55"/>
      <c r="B383" s="55"/>
      <c r="C383" s="55"/>
      <c r="D383" s="174"/>
      <c r="E383" s="54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</row>
    <row r="384" spans="1:19" x14ac:dyDescent="0.25">
      <c r="A384" s="55"/>
      <c r="B384" s="55"/>
      <c r="C384" s="55"/>
      <c r="D384" s="174"/>
      <c r="E384" s="54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</row>
    <row r="385" spans="1:19" x14ac:dyDescent="0.25">
      <c r="A385" s="55"/>
      <c r="B385" s="55"/>
      <c r="C385" s="55"/>
      <c r="D385" s="174"/>
      <c r="E385" s="54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</row>
    <row r="386" spans="1:19" x14ac:dyDescent="0.25">
      <c r="A386" s="55"/>
      <c r="B386" s="55"/>
      <c r="C386" s="55"/>
      <c r="D386" s="174"/>
      <c r="E386" s="54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</row>
    <row r="387" spans="1:19" x14ac:dyDescent="0.25">
      <c r="A387" s="55"/>
      <c r="B387" s="55"/>
      <c r="C387" s="55"/>
      <c r="D387" s="174"/>
      <c r="E387" s="54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</row>
    <row r="388" spans="1:19" x14ac:dyDescent="0.25">
      <c r="A388" s="55"/>
      <c r="B388" s="55"/>
      <c r="C388" s="55"/>
      <c r="D388" s="174"/>
      <c r="E388" s="54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</row>
    <row r="389" spans="1:19" x14ac:dyDescent="0.25">
      <c r="A389" s="55"/>
      <c r="B389" s="55"/>
      <c r="C389" s="55"/>
      <c r="D389" s="174"/>
      <c r="E389" s="54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</row>
    <row r="390" spans="1:19" x14ac:dyDescent="0.25">
      <c r="A390" s="55"/>
      <c r="B390" s="55"/>
      <c r="C390" s="55"/>
      <c r="D390" s="174"/>
      <c r="E390" s="54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</row>
    <row r="391" spans="1:19" x14ac:dyDescent="0.25">
      <c r="A391" s="55"/>
      <c r="B391" s="55"/>
      <c r="C391" s="55"/>
      <c r="D391" s="174"/>
      <c r="E391" s="54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</row>
    <row r="392" spans="1:19" x14ac:dyDescent="0.25">
      <c r="A392" s="55"/>
      <c r="B392" s="55"/>
      <c r="C392" s="55"/>
      <c r="D392" s="174"/>
      <c r="E392" s="54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</row>
    <row r="393" spans="1:19" x14ac:dyDescent="0.25">
      <c r="A393" s="55"/>
      <c r="B393" s="55"/>
      <c r="C393" s="55"/>
      <c r="D393" s="174"/>
      <c r="E393" s="54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</row>
    <row r="394" spans="1:19" x14ac:dyDescent="0.25">
      <c r="A394" s="55"/>
      <c r="B394" s="55"/>
      <c r="C394" s="55"/>
      <c r="D394" s="174"/>
      <c r="E394" s="54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</row>
    <row r="395" spans="1:19" x14ac:dyDescent="0.25">
      <c r="A395" s="55"/>
      <c r="B395" s="55"/>
      <c r="C395" s="55"/>
      <c r="D395" s="174"/>
      <c r="E395" s="54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</row>
    <row r="396" spans="1:19" x14ac:dyDescent="0.25">
      <c r="A396" s="55"/>
      <c r="B396" s="55"/>
      <c r="C396" s="55"/>
      <c r="D396" s="174"/>
      <c r="E396" s="54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</row>
    <row r="397" spans="1:19" x14ac:dyDescent="0.25">
      <c r="A397" s="55"/>
      <c r="B397" s="55"/>
      <c r="C397" s="55"/>
      <c r="D397" s="174"/>
      <c r="E397" s="54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</row>
    <row r="398" spans="1:19" x14ac:dyDescent="0.25">
      <c r="A398" s="55"/>
      <c r="B398" s="55"/>
      <c r="C398" s="55"/>
      <c r="D398" s="174"/>
      <c r="E398" s="54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</row>
    <row r="399" spans="1:19" x14ac:dyDescent="0.25">
      <c r="A399" s="55"/>
      <c r="B399" s="55"/>
      <c r="C399" s="55"/>
      <c r="D399" s="174"/>
      <c r="E399" s="54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</row>
    <row r="400" spans="1:19" x14ac:dyDescent="0.25">
      <c r="A400" s="55"/>
      <c r="B400" s="55"/>
      <c r="C400" s="55"/>
      <c r="D400" s="174"/>
      <c r="E400" s="54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</row>
    <row r="401" spans="1:19" x14ac:dyDescent="0.25">
      <c r="A401" s="55"/>
      <c r="B401" s="55"/>
      <c r="C401" s="55"/>
      <c r="D401" s="174"/>
      <c r="E401" s="54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</row>
    <row r="402" spans="1:19" x14ac:dyDescent="0.25">
      <c r="A402" s="55"/>
      <c r="B402" s="55"/>
      <c r="C402" s="55"/>
      <c r="D402" s="174"/>
      <c r="E402" s="54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</row>
    <row r="403" spans="1:19" x14ac:dyDescent="0.25">
      <c r="A403" s="55"/>
      <c r="B403" s="55"/>
      <c r="C403" s="55"/>
      <c r="D403" s="174"/>
      <c r="E403" s="54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</row>
    <row r="404" spans="1:19" x14ac:dyDescent="0.25">
      <c r="A404" s="55"/>
      <c r="B404" s="55"/>
      <c r="C404" s="55"/>
      <c r="D404" s="174"/>
      <c r="E404" s="54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</row>
    <row r="405" spans="1:19" x14ac:dyDescent="0.25">
      <c r="A405" s="55"/>
      <c r="B405" s="55"/>
      <c r="C405" s="55"/>
      <c r="D405" s="174"/>
      <c r="E405" s="54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</row>
    <row r="406" spans="1:19" x14ac:dyDescent="0.25">
      <c r="A406" s="55"/>
      <c r="B406" s="55"/>
      <c r="C406" s="55"/>
      <c r="D406" s="174"/>
      <c r="E406" s="54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</row>
    <row r="407" spans="1:19" x14ac:dyDescent="0.25">
      <c r="A407" s="55"/>
      <c r="B407" s="55"/>
      <c r="C407" s="55"/>
      <c r="D407" s="174"/>
      <c r="E407" s="54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</row>
    <row r="408" spans="1:19" x14ac:dyDescent="0.25">
      <c r="A408" s="55"/>
      <c r="B408" s="55"/>
      <c r="C408" s="55"/>
      <c r="D408" s="174"/>
      <c r="E408" s="54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</row>
    <row r="409" spans="1:19" x14ac:dyDescent="0.25">
      <c r="A409" s="55"/>
      <c r="B409" s="55"/>
      <c r="C409" s="55"/>
      <c r="D409" s="174"/>
      <c r="E409" s="54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</row>
    <row r="410" spans="1:19" x14ac:dyDescent="0.25">
      <c r="A410" s="55"/>
      <c r="B410" s="55"/>
      <c r="C410" s="55"/>
      <c r="D410" s="174"/>
      <c r="E410" s="54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</row>
    <row r="411" spans="1:19" x14ac:dyDescent="0.25">
      <c r="A411" s="55"/>
      <c r="B411" s="55"/>
      <c r="C411" s="55"/>
      <c r="D411" s="174"/>
      <c r="E411" s="54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</row>
    <row r="412" spans="1:19" x14ac:dyDescent="0.25">
      <c r="A412" s="55"/>
      <c r="B412" s="55"/>
      <c r="C412" s="55"/>
      <c r="D412" s="174"/>
      <c r="E412" s="54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</row>
    <row r="413" spans="1:19" x14ac:dyDescent="0.25">
      <c r="A413" s="55"/>
      <c r="B413" s="55"/>
      <c r="C413" s="55"/>
      <c r="D413" s="174"/>
      <c r="E413" s="54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</row>
    <row r="414" spans="1:19" x14ac:dyDescent="0.25">
      <c r="A414" s="55"/>
      <c r="B414" s="55"/>
      <c r="C414" s="55"/>
      <c r="D414" s="174"/>
      <c r="E414" s="54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</row>
    <row r="415" spans="1:19" x14ac:dyDescent="0.25">
      <c r="A415" s="55"/>
      <c r="B415" s="55"/>
      <c r="C415" s="55"/>
      <c r="D415" s="174"/>
      <c r="E415" s="54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</row>
    <row r="416" spans="1:19" x14ac:dyDescent="0.25">
      <c r="A416" s="55"/>
      <c r="B416" s="55"/>
      <c r="C416" s="55"/>
      <c r="D416" s="174"/>
      <c r="E416" s="54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</row>
    <row r="417" spans="1:19" x14ac:dyDescent="0.25">
      <c r="A417" s="55"/>
      <c r="B417" s="55"/>
      <c r="C417" s="55"/>
      <c r="D417" s="174"/>
      <c r="E417" s="54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</row>
    <row r="418" spans="1:19" x14ac:dyDescent="0.25">
      <c r="A418" s="55"/>
      <c r="B418" s="55"/>
      <c r="C418" s="55"/>
      <c r="D418" s="174"/>
      <c r="E418" s="54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</row>
    <row r="419" spans="1:19" x14ac:dyDescent="0.25">
      <c r="A419" s="55"/>
      <c r="B419" s="55"/>
      <c r="C419" s="55"/>
      <c r="D419" s="174"/>
      <c r="E419" s="54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</row>
    <row r="420" spans="1:19" x14ac:dyDescent="0.25">
      <c r="A420" s="55"/>
      <c r="B420" s="55"/>
      <c r="C420" s="55"/>
      <c r="D420" s="174"/>
      <c r="E420" s="54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</row>
    <row r="421" spans="1:19" x14ac:dyDescent="0.25">
      <c r="A421" s="55"/>
      <c r="B421" s="55"/>
      <c r="C421" s="55"/>
      <c r="D421" s="174"/>
      <c r="E421" s="54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</row>
    <row r="422" spans="1:19" x14ac:dyDescent="0.25">
      <c r="A422" s="55"/>
      <c r="B422" s="55"/>
      <c r="C422" s="55"/>
      <c r="D422" s="174"/>
      <c r="E422" s="54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</row>
    <row r="423" spans="1:19" x14ac:dyDescent="0.25">
      <c r="A423" s="55"/>
      <c r="B423" s="55"/>
      <c r="C423" s="55"/>
      <c r="D423" s="174"/>
      <c r="E423" s="54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</row>
    <row r="424" spans="1:19" x14ac:dyDescent="0.25">
      <c r="A424" s="55"/>
      <c r="B424" s="55"/>
      <c r="C424" s="55"/>
      <c r="D424" s="174"/>
      <c r="E424" s="54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</row>
    <row r="425" spans="1:19" x14ac:dyDescent="0.25">
      <c r="A425" s="55"/>
      <c r="B425" s="55"/>
      <c r="C425" s="55"/>
      <c r="D425" s="174"/>
      <c r="E425" s="54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</row>
    <row r="426" spans="1:19" x14ac:dyDescent="0.25">
      <c r="A426" s="55"/>
      <c r="B426" s="55"/>
      <c r="C426" s="55"/>
      <c r="D426" s="174"/>
      <c r="E426" s="54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</row>
    <row r="427" spans="1:19" x14ac:dyDescent="0.25">
      <c r="A427" s="55"/>
      <c r="B427" s="55"/>
      <c r="C427" s="55"/>
      <c r="D427" s="174"/>
      <c r="E427" s="54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</row>
    <row r="428" spans="1:19" x14ac:dyDescent="0.25">
      <c r="A428" s="55"/>
      <c r="B428" s="55"/>
      <c r="C428" s="55"/>
      <c r="D428" s="174"/>
      <c r="E428" s="54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</row>
    <row r="429" spans="1:19" x14ac:dyDescent="0.25">
      <c r="A429" s="55"/>
      <c r="B429" s="55"/>
      <c r="C429" s="55"/>
      <c r="D429" s="174"/>
      <c r="E429" s="54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</row>
    <row r="430" spans="1:19" x14ac:dyDescent="0.25">
      <c r="A430" s="55"/>
      <c r="B430" s="55"/>
      <c r="C430" s="55"/>
      <c r="D430" s="174"/>
      <c r="E430" s="54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</row>
    <row r="431" spans="1:19" x14ac:dyDescent="0.25">
      <c r="A431" s="55"/>
      <c r="B431" s="55"/>
      <c r="C431" s="55"/>
      <c r="D431" s="174"/>
      <c r="E431" s="54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</row>
    <row r="432" spans="1:19" x14ac:dyDescent="0.25">
      <c r="A432" s="55"/>
      <c r="B432" s="55"/>
      <c r="C432" s="55"/>
      <c r="D432" s="174"/>
      <c r="E432" s="54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</row>
    <row r="433" spans="1:19" x14ac:dyDescent="0.25">
      <c r="A433" s="55"/>
      <c r="B433" s="55"/>
      <c r="C433" s="55"/>
      <c r="D433" s="174"/>
      <c r="E433" s="54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</row>
    <row r="434" spans="1:19" x14ac:dyDescent="0.25">
      <c r="A434" s="55"/>
      <c r="B434" s="55"/>
      <c r="C434" s="55"/>
      <c r="D434" s="174"/>
      <c r="E434" s="54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</row>
    <row r="435" spans="1:19" x14ac:dyDescent="0.25">
      <c r="A435" s="55"/>
      <c r="B435" s="55"/>
      <c r="C435" s="55"/>
      <c r="D435" s="174"/>
      <c r="E435" s="54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</row>
    <row r="436" spans="1:19" x14ac:dyDescent="0.25">
      <c r="A436" s="55"/>
      <c r="B436" s="55"/>
      <c r="C436" s="55"/>
      <c r="D436" s="174"/>
      <c r="E436" s="54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</row>
    <row r="437" spans="1:19" x14ac:dyDescent="0.25">
      <c r="A437" s="55"/>
      <c r="B437" s="55"/>
      <c r="C437" s="55"/>
      <c r="D437" s="174"/>
      <c r="E437" s="54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</row>
    <row r="438" spans="1:19" x14ac:dyDescent="0.25">
      <c r="A438" s="55"/>
      <c r="B438" s="55"/>
      <c r="C438" s="55"/>
      <c r="D438" s="174"/>
      <c r="E438" s="54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</row>
    <row r="439" spans="1:19" x14ac:dyDescent="0.25">
      <c r="A439" s="55"/>
      <c r="B439" s="55"/>
      <c r="C439" s="55"/>
      <c r="D439" s="174"/>
      <c r="E439" s="54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</row>
    <row r="440" spans="1:19" x14ac:dyDescent="0.25">
      <c r="A440" s="55"/>
      <c r="B440" s="55"/>
      <c r="C440" s="55"/>
      <c r="D440" s="174"/>
      <c r="E440" s="54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</row>
    <row r="441" spans="1:19" x14ac:dyDescent="0.25">
      <c r="A441" s="55"/>
      <c r="B441" s="55"/>
      <c r="C441" s="55"/>
      <c r="D441" s="174"/>
      <c r="E441" s="54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</row>
    <row r="442" spans="1:19" x14ac:dyDescent="0.25">
      <c r="A442" s="55"/>
      <c r="B442" s="55"/>
      <c r="C442" s="55"/>
      <c r="D442" s="174"/>
      <c r="E442" s="54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</row>
    <row r="443" spans="1:19" x14ac:dyDescent="0.25">
      <c r="A443" s="55"/>
      <c r="B443" s="55"/>
      <c r="C443" s="55"/>
      <c r="D443" s="174"/>
      <c r="E443" s="54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</row>
    <row r="444" spans="1:19" x14ac:dyDescent="0.25">
      <c r="A444" s="55"/>
      <c r="B444" s="55"/>
      <c r="C444" s="55"/>
      <c r="D444" s="174"/>
      <c r="E444" s="54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</row>
    <row r="445" spans="1:19" x14ac:dyDescent="0.25">
      <c r="A445" s="55"/>
      <c r="B445" s="55"/>
      <c r="C445" s="55"/>
      <c r="D445" s="174"/>
      <c r="E445" s="54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</row>
    <row r="446" spans="1:19" x14ac:dyDescent="0.25">
      <c r="A446" s="55"/>
      <c r="B446" s="55"/>
      <c r="C446" s="55"/>
      <c r="D446" s="174"/>
      <c r="E446" s="54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</row>
    <row r="447" spans="1:19" x14ac:dyDescent="0.25">
      <c r="A447" s="55"/>
      <c r="B447" s="55"/>
      <c r="C447" s="55"/>
      <c r="D447" s="174"/>
      <c r="E447" s="54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</row>
    <row r="448" spans="1:19" x14ac:dyDescent="0.25">
      <c r="A448" s="55"/>
      <c r="B448" s="55"/>
      <c r="C448" s="55"/>
      <c r="D448" s="174"/>
      <c r="E448" s="54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</row>
    <row r="449" spans="1:19" x14ac:dyDescent="0.25">
      <c r="A449" s="55"/>
      <c r="B449" s="55"/>
      <c r="C449" s="55"/>
      <c r="D449" s="174"/>
      <c r="E449" s="54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</row>
    <row r="450" spans="1:19" x14ac:dyDescent="0.25">
      <c r="A450" s="55"/>
      <c r="B450" s="55"/>
      <c r="C450" s="55"/>
      <c r="D450" s="174"/>
      <c r="E450" s="54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</row>
    <row r="451" spans="1:19" x14ac:dyDescent="0.25">
      <c r="A451" s="55"/>
      <c r="B451" s="55"/>
      <c r="C451" s="55"/>
      <c r="D451" s="174"/>
      <c r="E451" s="54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</row>
    <row r="452" spans="1:19" x14ac:dyDescent="0.25">
      <c r="A452" s="55"/>
      <c r="B452" s="55"/>
      <c r="C452" s="55"/>
      <c r="D452" s="174"/>
      <c r="E452" s="54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</row>
    <row r="453" spans="1:19" x14ac:dyDescent="0.25">
      <c r="A453" s="55"/>
      <c r="B453" s="55"/>
      <c r="C453" s="55"/>
      <c r="D453" s="174"/>
      <c r="E453" s="54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</row>
    <row r="454" spans="1:19" x14ac:dyDescent="0.25">
      <c r="A454" s="55"/>
      <c r="B454" s="55"/>
      <c r="C454" s="55"/>
      <c r="D454" s="174"/>
      <c r="E454" s="54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</row>
    <row r="455" spans="1:19" x14ac:dyDescent="0.25">
      <c r="A455" s="55"/>
      <c r="B455" s="55"/>
      <c r="C455" s="55"/>
      <c r="D455" s="174"/>
      <c r="E455" s="54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</row>
    <row r="456" spans="1:19" x14ac:dyDescent="0.25">
      <c r="A456" s="55"/>
      <c r="B456" s="55"/>
      <c r="C456" s="55"/>
      <c r="D456" s="174"/>
      <c r="E456" s="54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</row>
    <row r="457" spans="1:19" x14ac:dyDescent="0.25">
      <c r="A457" s="55"/>
      <c r="B457" s="55"/>
      <c r="C457" s="55"/>
      <c r="D457" s="174"/>
      <c r="E457" s="54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</row>
    <row r="458" spans="1:19" x14ac:dyDescent="0.25">
      <c r="A458" s="55"/>
      <c r="B458" s="55"/>
      <c r="C458" s="55"/>
      <c r="D458" s="174"/>
      <c r="E458" s="54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</row>
    <row r="459" spans="1:19" x14ac:dyDescent="0.25">
      <c r="A459" s="55"/>
      <c r="B459" s="55"/>
      <c r="C459" s="55"/>
      <c r="D459" s="174"/>
      <c r="E459" s="54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</row>
    <row r="460" spans="1:19" x14ac:dyDescent="0.25">
      <c r="A460" s="55"/>
      <c r="B460" s="55"/>
      <c r="C460" s="55"/>
      <c r="D460" s="174"/>
      <c r="E460" s="54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</row>
    <row r="461" spans="1:19" x14ac:dyDescent="0.25">
      <c r="A461" s="55"/>
      <c r="B461" s="55"/>
      <c r="C461" s="55"/>
      <c r="D461" s="174"/>
      <c r="E461" s="54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</row>
    <row r="462" spans="1:19" x14ac:dyDescent="0.25">
      <c r="A462" s="55"/>
      <c r="B462" s="55"/>
      <c r="C462" s="55"/>
      <c r="D462" s="174"/>
      <c r="E462" s="54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</row>
    <row r="463" spans="1:19" x14ac:dyDescent="0.25">
      <c r="A463" s="55"/>
      <c r="B463" s="55"/>
      <c r="C463" s="55"/>
      <c r="D463" s="174"/>
      <c r="E463" s="54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</row>
    <row r="464" spans="1:19" x14ac:dyDescent="0.25">
      <c r="A464" s="55"/>
      <c r="B464" s="55"/>
      <c r="C464" s="55"/>
      <c r="D464" s="174"/>
      <c r="E464" s="54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</row>
    <row r="465" spans="1:19" x14ac:dyDescent="0.25">
      <c r="A465" s="55"/>
      <c r="B465" s="55"/>
      <c r="C465" s="55"/>
      <c r="D465" s="174"/>
      <c r="E465" s="54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</row>
    <row r="466" spans="1:19" x14ac:dyDescent="0.25">
      <c r="A466" s="55"/>
      <c r="B466" s="55"/>
      <c r="C466" s="55"/>
      <c r="D466" s="174"/>
      <c r="E466" s="54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</row>
    <row r="467" spans="1:19" x14ac:dyDescent="0.25">
      <c r="A467" s="55"/>
      <c r="B467" s="55"/>
      <c r="C467" s="55"/>
      <c r="D467" s="174"/>
      <c r="E467" s="54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</row>
    <row r="468" spans="1:19" x14ac:dyDescent="0.25">
      <c r="A468" s="55"/>
      <c r="B468" s="55"/>
      <c r="C468" s="55"/>
      <c r="D468" s="174"/>
      <c r="E468" s="54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</row>
    <row r="469" spans="1:19" x14ac:dyDescent="0.25">
      <c r="A469" s="55"/>
      <c r="B469" s="55"/>
      <c r="C469" s="55"/>
      <c r="D469" s="174"/>
      <c r="E469" s="54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</row>
    <row r="470" spans="1:19" x14ac:dyDescent="0.25">
      <c r="A470" s="55"/>
      <c r="B470" s="55"/>
      <c r="C470" s="55"/>
      <c r="D470" s="174"/>
      <c r="E470" s="54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</row>
    <row r="471" spans="1:19" x14ac:dyDescent="0.25">
      <c r="A471" s="55"/>
      <c r="B471" s="55"/>
      <c r="C471" s="55"/>
      <c r="D471" s="174"/>
      <c r="E471" s="54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</row>
    <row r="472" spans="1:19" x14ac:dyDescent="0.25">
      <c r="A472" s="55"/>
      <c r="B472" s="55"/>
      <c r="C472" s="55"/>
      <c r="D472" s="174"/>
      <c r="E472" s="54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</row>
    <row r="473" spans="1:19" x14ac:dyDescent="0.25">
      <c r="A473" s="55"/>
      <c r="B473" s="55"/>
      <c r="C473" s="55"/>
      <c r="D473" s="174"/>
      <c r="E473" s="54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</row>
    <row r="474" spans="1:19" x14ac:dyDescent="0.25">
      <c r="A474" s="55"/>
      <c r="B474" s="55"/>
      <c r="C474" s="55"/>
      <c r="D474" s="174"/>
      <c r="E474" s="54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</row>
    <row r="475" spans="1:19" x14ac:dyDescent="0.25">
      <c r="A475" s="55"/>
      <c r="B475" s="55"/>
      <c r="C475" s="55"/>
      <c r="D475" s="174"/>
      <c r="E475" s="54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</row>
    <row r="476" spans="1:19" x14ac:dyDescent="0.25">
      <c r="A476" s="55"/>
      <c r="B476" s="55"/>
      <c r="C476" s="55"/>
      <c r="D476" s="174"/>
      <c r="E476" s="54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</row>
    <row r="477" spans="1:19" x14ac:dyDescent="0.25">
      <c r="A477" s="55"/>
      <c r="B477" s="55"/>
      <c r="C477" s="55"/>
      <c r="D477" s="174"/>
      <c r="E477" s="54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</row>
    <row r="478" spans="1:19" x14ac:dyDescent="0.25">
      <c r="A478" s="55"/>
      <c r="B478" s="55"/>
      <c r="C478" s="55"/>
      <c r="D478" s="174"/>
      <c r="E478" s="54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</row>
    <row r="479" spans="1:19" x14ac:dyDescent="0.25">
      <c r="A479" s="55"/>
      <c r="B479" s="55"/>
      <c r="C479" s="55"/>
      <c r="D479" s="174"/>
      <c r="E479" s="54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</row>
    <row r="480" spans="1:19" x14ac:dyDescent="0.25">
      <c r="A480" s="55"/>
      <c r="B480" s="55"/>
      <c r="C480" s="55"/>
      <c r="D480" s="174"/>
      <c r="E480" s="54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</row>
    <row r="481" spans="1:19" x14ac:dyDescent="0.25">
      <c r="A481" s="55"/>
      <c r="B481" s="55"/>
      <c r="C481" s="55"/>
      <c r="D481" s="174"/>
      <c r="E481" s="54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</row>
    <row r="482" spans="1:19" x14ac:dyDescent="0.25">
      <c r="A482" s="55"/>
      <c r="B482" s="55"/>
      <c r="C482" s="55"/>
      <c r="D482" s="174"/>
      <c r="E482" s="54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</row>
    <row r="483" spans="1:19" x14ac:dyDescent="0.25">
      <c r="A483" s="55"/>
      <c r="B483" s="55"/>
      <c r="C483" s="55"/>
      <c r="D483" s="174"/>
      <c r="E483" s="54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</row>
    <row r="484" spans="1:19" x14ac:dyDescent="0.25">
      <c r="A484" s="55"/>
      <c r="B484" s="55"/>
      <c r="C484" s="55"/>
      <c r="D484" s="174"/>
      <c r="E484" s="54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</row>
    <row r="485" spans="1:19" x14ac:dyDescent="0.25">
      <c r="A485" s="55"/>
      <c r="B485" s="55"/>
      <c r="C485" s="55"/>
      <c r="D485" s="174"/>
      <c r="E485" s="54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</row>
    <row r="486" spans="1:19" x14ac:dyDescent="0.25">
      <c r="A486" s="55"/>
      <c r="B486" s="55"/>
      <c r="C486" s="55"/>
      <c r="D486" s="174"/>
      <c r="E486" s="54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</row>
    <row r="487" spans="1:19" x14ac:dyDescent="0.25">
      <c r="A487" s="55"/>
      <c r="B487" s="55"/>
      <c r="C487" s="55"/>
      <c r="D487" s="174"/>
      <c r="E487" s="54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</row>
    <row r="488" spans="1:19" x14ac:dyDescent="0.25">
      <c r="A488" s="55"/>
      <c r="B488" s="55"/>
      <c r="C488" s="55"/>
      <c r="D488" s="174"/>
      <c r="E488" s="54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</row>
    <row r="489" spans="1:19" x14ac:dyDescent="0.25">
      <c r="A489" s="55"/>
      <c r="B489" s="55"/>
      <c r="C489" s="55"/>
      <c r="D489" s="174"/>
      <c r="E489" s="54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</row>
    <row r="490" spans="1:19" x14ac:dyDescent="0.25">
      <c r="A490" s="55"/>
      <c r="B490" s="55"/>
      <c r="C490" s="55"/>
      <c r="D490" s="174"/>
      <c r="E490" s="54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</row>
    <row r="491" spans="1:19" x14ac:dyDescent="0.25">
      <c r="A491" s="55"/>
      <c r="B491" s="55"/>
      <c r="C491" s="55"/>
      <c r="D491" s="174"/>
      <c r="E491" s="54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</row>
    <row r="492" spans="1:19" x14ac:dyDescent="0.25">
      <c r="A492" s="55"/>
      <c r="B492" s="55"/>
      <c r="C492" s="55"/>
      <c r="D492" s="174"/>
      <c r="E492" s="54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</row>
    <row r="493" spans="1:19" x14ac:dyDescent="0.25">
      <c r="A493" s="55"/>
      <c r="B493" s="55"/>
      <c r="C493" s="55"/>
      <c r="D493" s="174"/>
      <c r="E493" s="54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</row>
    <row r="494" spans="1:19" x14ac:dyDescent="0.25">
      <c r="A494" s="55"/>
      <c r="B494" s="55"/>
      <c r="C494" s="55"/>
      <c r="D494" s="174"/>
      <c r="E494" s="54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</row>
    <row r="495" spans="1:19" x14ac:dyDescent="0.25">
      <c r="A495" s="55"/>
      <c r="B495" s="55"/>
      <c r="C495" s="55"/>
      <c r="D495" s="174"/>
      <c r="E495" s="54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</row>
    <row r="496" spans="1:19" x14ac:dyDescent="0.25">
      <c r="A496" s="55"/>
      <c r="B496" s="55"/>
      <c r="C496" s="55"/>
      <c r="D496" s="174"/>
      <c r="E496" s="54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</row>
    <row r="497" spans="1:19" x14ac:dyDescent="0.25">
      <c r="A497" s="55"/>
      <c r="B497" s="55"/>
      <c r="C497" s="55"/>
      <c r="D497" s="174"/>
      <c r="E497" s="54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</row>
    <row r="498" spans="1:19" x14ac:dyDescent="0.25">
      <c r="A498" s="55"/>
      <c r="B498" s="55"/>
      <c r="C498" s="55"/>
      <c r="D498" s="174"/>
      <c r="E498" s="54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</row>
    <row r="499" spans="1:19" x14ac:dyDescent="0.25">
      <c r="A499" s="55"/>
      <c r="B499" s="55"/>
      <c r="C499" s="55"/>
      <c r="D499" s="174"/>
      <c r="E499" s="54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</row>
    <row r="500" spans="1:19" x14ac:dyDescent="0.25">
      <c r="A500" s="55"/>
      <c r="B500" s="55"/>
      <c r="C500" s="55"/>
      <c r="D500" s="174"/>
      <c r="E500" s="54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</row>
    <row r="501" spans="1:19" x14ac:dyDescent="0.25">
      <c r="A501" s="55"/>
      <c r="B501" s="55"/>
      <c r="C501" s="55"/>
      <c r="D501" s="174"/>
      <c r="E501" s="54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</row>
    <row r="502" spans="1:19" x14ac:dyDescent="0.25">
      <c r="A502" s="55"/>
      <c r="B502" s="55"/>
      <c r="C502" s="55"/>
      <c r="D502" s="174"/>
      <c r="E502" s="54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</row>
    <row r="503" spans="1:19" x14ac:dyDescent="0.25">
      <c r="A503" s="55"/>
      <c r="B503" s="55"/>
      <c r="C503" s="55"/>
      <c r="D503" s="174"/>
      <c r="E503" s="54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</row>
    <row r="504" spans="1:19" x14ac:dyDescent="0.25">
      <c r="A504" s="55"/>
      <c r="B504" s="55"/>
      <c r="C504" s="55"/>
      <c r="D504" s="174"/>
      <c r="E504" s="54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</row>
    <row r="505" spans="1:19" x14ac:dyDescent="0.25">
      <c r="A505" s="55"/>
      <c r="B505" s="55"/>
      <c r="C505" s="55"/>
      <c r="D505" s="174"/>
      <c r="E505" s="54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</row>
    <row r="506" spans="1:19" x14ac:dyDescent="0.25">
      <c r="A506" s="55"/>
      <c r="B506" s="55"/>
      <c r="C506" s="55"/>
      <c r="D506" s="174"/>
      <c r="E506" s="54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</row>
    <row r="507" spans="1:19" x14ac:dyDescent="0.25">
      <c r="A507" s="55"/>
      <c r="B507" s="55"/>
      <c r="C507" s="55"/>
      <c r="D507" s="174"/>
      <c r="E507" s="54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</row>
    <row r="508" spans="1:19" x14ac:dyDescent="0.25">
      <c r="A508" s="55"/>
      <c r="B508" s="55"/>
      <c r="C508" s="55"/>
      <c r="D508" s="174"/>
      <c r="E508" s="54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</row>
    <row r="509" spans="1:19" x14ac:dyDescent="0.25">
      <c r="A509" s="55"/>
      <c r="B509" s="55"/>
      <c r="C509" s="55"/>
      <c r="D509" s="174"/>
      <c r="E509" s="54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</row>
    <row r="510" spans="1:19" x14ac:dyDescent="0.25">
      <c r="A510" s="55"/>
      <c r="B510" s="55"/>
      <c r="C510" s="55"/>
      <c r="D510" s="174"/>
      <c r="E510" s="54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</row>
    <row r="511" spans="1:19" x14ac:dyDescent="0.25">
      <c r="A511" s="55"/>
      <c r="B511" s="55"/>
      <c r="C511" s="55"/>
      <c r="D511" s="174"/>
      <c r="E511" s="54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</row>
    <row r="512" spans="1:19" x14ac:dyDescent="0.25">
      <c r="A512" s="55"/>
      <c r="B512" s="55"/>
      <c r="C512" s="55"/>
      <c r="D512" s="174"/>
      <c r="E512" s="54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</row>
    <row r="513" spans="1:19" x14ac:dyDescent="0.25">
      <c r="A513" s="55"/>
      <c r="B513" s="55"/>
      <c r="C513" s="55"/>
      <c r="D513" s="174"/>
      <c r="E513" s="54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</row>
    <row r="514" spans="1:19" x14ac:dyDescent="0.25">
      <c r="A514" s="55"/>
      <c r="B514" s="55"/>
      <c r="C514" s="55"/>
      <c r="D514" s="174"/>
      <c r="E514" s="54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</row>
    <row r="515" spans="1:19" x14ac:dyDescent="0.25">
      <c r="A515" s="55"/>
      <c r="B515" s="55"/>
      <c r="C515" s="55"/>
      <c r="D515" s="174"/>
      <c r="E515" s="54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</row>
    <row r="516" spans="1:19" x14ac:dyDescent="0.25">
      <c r="A516" s="55"/>
      <c r="B516" s="55"/>
      <c r="C516" s="55"/>
      <c r="D516" s="174"/>
      <c r="E516" s="54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</row>
    <row r="517" spans="1:19" x14ac:dyDescent="0.25">
      <c r="A517" s="55"/>
      <c r="B517" s="55"/>
      <c r="C517" s="55"/>
      <c r="D517" s="174"/>
      <c r="E517" s="54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</row>
    <row r="518" spans="1:19" x14ac:dyDescent="0.25">
      <c r="A518" s="55"/>
      <c r="B518" s="55"/>
      <c r="C518" s="55"/>
      <c r="D518" s="174"/>
      <c r="E518" s="54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</row>
    <row r="519" spans="1:19" x14ac:dyDescent="0.25">
      <c r="A519" s="55"/>
      <c r="B519" s="55"/>
      <c r="C519" s="55"/>
      <c r="D519" s="174"/>
      <c r="E519" s="54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</row>
    <row r="520" spans="1:19" x14ac:dyDescent="0.25">
      <c r="A520" s="55"/>
      <c r="B520" s="55"/>
      <c r="C520" s="55"/>
      <c r="D520" s="174"/>
      <c r="E520" s="54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</row>
    <row r="521" spans="1:19" x14ac:dyDescent="0.25">
      <c r="A521" s="55"/>
      <c r="B521" s="55"/>
      <c r="C521" s="55"/>
      <c r="D521" s="174"/>
      <c r="E521" s="54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</row>
    <row r="522" spans="1:19" x14ac:dyDescent="0.25">
      <c r="A522" s="55"/>
      <c r="B522" s="55"/>
      <c r="C522" s="55"/>
      <c r="D522" s="174"/>
      <c r="E522" s="54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</row>
    <row r="523" spans="1:19" x14ac:dyDescent="0.25">
      <c r="A523" s="55"/>
      <c r="B523" s="55"/>
      <c r="C523" s="55"/>
      <c r="D523" s="174"/>
      <c r="E523" s="54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</row>
    <row r="524" spans="1:19" x14ac:dyDescent="0.25">
      <c r="A524" s="55"/>
      <c r="B524" s="55"/>
      <c r="C524" s="55"/>
      <c r="D524" s="174"/>
      <c r="E524" s="54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</row>
    <row r="525" spans="1:19" x14ac:dyDescent="0.25">
      <c r="A525" s="55"/>
      <c r="B525" s="55"/>
      <c r="C525" s="55"/>
      <c r="D525" s="174"/>
      <c r="E525" s="54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</row>
    <row r="526" spans="1:19" x14ac:dyDescent="0.25">
      <c r="A526" s="55"/>
      <c r="B526" s="55"/>
      <c r="C526" s="55"/>
      <c r="D526" s="174"/>
      <c r="E526" s="54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</row>
    <row r="527" spans="1:19" x14ac:dyDescent="0.25">
      <c r="A527" s="55"/>
      <c r="B527" s="55"/>
      <c r="C527" s="55"/>
      <c r="D527" s="174"/>
      <c r="E527" s="54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</row>
    <row r="528" spans="1:19" x14ac:dyDescent="0.25">
      <c r="A528" s="55"/>
      <c r="B528" s="55"/>
      <c r="C528" s="55"/>
      <c r="D528" s="174"/>
      <c r="E528" s="54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</row>
    <row r="529" spans="1:19" x14ac:dyDescent="0.25">
      <c r="A529" s="55"/>
      <c r="B529" s="55"/>
      <c r="C529" s="55"/>
      <c r="D529" s="174"/>
      <c r="E529" s="54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</row>
    <row r="530" spans="1:19" x14ac:dyDescent="0.25">
      <c r="A530" s="55"/>
      <c r="B530" s="55"/>
      <c r="C530" s="55"/>
      <c r="D530" s="174"/>
      <c r="E530" s="54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</row>
    <row r="531" spans="1:19" x14ac:dyDescent="0.25">
      <c r="A531" s="55"/>
      <c r="B531" s="55"/>
      <c r="C531" s="55"/>
      <c r="D531" s="174"/>
      <c r="E531" s="54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</row>
    <row r="532" spans="1:19" x14ac:dyDescent="0.25">
      <c r="A532" s="55"/>
      <c r="B532" s="55"/>
      <c r="C532" s="55"/>
      <c r="D532" s="174"/>
      <c r="E532" s="54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</row>
    <row r="533" spans="1:19" x14ac:dyDescent="0.25">
      <c r="A533" s="55"/>
      <c r="B533" s="55"/>
      <c r="C533" s="55"/>
      <c r="D533" s="174"/>
      <c r="E533" s="54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</row>
    <row r="534" spans="1:19" x14ac:dyDescent="0.25">
      <c r="A534" s="55"/>
      <c r="B534" s="55"/>
      <c r="C534" s="55"/>
      <c r="D534" s="174"/>
      <c r="E534" s="54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</row>
    <row r="535" spans="1:19" x14ac:dyDescent="0.25">
      <c r="A535" s="55"/>
      <c r="B535" s="55"/>
      <c r="C535" s="55"/>
      <c r="D535" s="174"/>
      <c r="E535" s="54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</row>
    <row r="536" spans="1:19" x14ac:dyDescent="0.25">
      <c r="A536" s="55"/>
      <c r="B536" s="55"/>
      <c r="C536" s="55"/>
      <c r="D536" s="174"/>
      <c r="E536" s="54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</row>
    <row r="537" spans="1:19" x14ac:dyDescent="0.25">
      <c r="A537" s="55"/>
      <c r="B537" s="55"/>
      <c r="C537" s="55"/>
      <c r="D537" s="174"/>
      <c r="E537" s="54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</row>
    <row r="538" spans="1:19" x14ac:dyDescent="0.25">
      <c r="A538" s="55"/>
      <c r="B538" s="55"/>
      <c r="C538" s="55"/>
      <c r="D538" s="174"/>
      <c r="E538" s="54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</row>
    <row r="539" spans="1:19" x14ac:dyDescent="0.25">
      <c r="A539" s="55"/>
      <c r="B539" s="55"/>
      <c r="C539" s="55"/>
      <c r="D539" s="174"/>
      <c r="E539" s="54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</row>
    <row r="540" spans="1:19" x14ac:dyDescent="0.25">
      <c r="A540" s="55"/>
      <c r="B540" s="55"/>
      <c r="C540" s="55"/>
      <c r="D540" s="174"/>
      <c r="E540" s="54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</row>
    <row r="541" spans="1:19" x14ac:dyDescent="0.25">
      <c r="A541" s="55"/>
      <c r="B541" s="55"/>
      <c r="C541" s="55"/>
      <c r="D541" s="174"/>
      <c r="E541" s="54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</row>
    <row r="542" spans="1:19" x14ac:dyDescent="0.25">
      <c r="A542" s="55"/>
      <c r="B542" s="55"/>
      <c r="C542" s="55"/>
      <c r="D542" s="174"/>
      <c r="E542" s="54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</row>
    <row r="543" spans="1:19" x14ac:dyDescent="0.25">
      <c r="A543" s="55"/>
      <c r="B543" s="55"/>
      <c r="C543" s="55"/>
      <c r="D543" s="174"/>
      <c r="E543" s="54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</row>
    <row r="544" spans="1:19" x14ac:dyDescent="0.25">
      <c r="A544" s="55"/>
      <c r="B544" s="55"/>
      <c r="C544" s="55"/>
      <c r="D544" s="174"/>
      <c r="E544" s="54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</row>
    <row r="545" spans="1:19" x14ac:dyDescent="0.25">
      <c r="A545" s="55"/>
      <c r="B545" s="55"/>
      <c r="C545" s="55"/>
      <c r="D545" s="174"/>
      <c r="E545" s="54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</row>
    <row r="546" spans="1:19" x14ac:dyDescent="0.25">
      <c r="A546" s="55"/>
      <c r="B546" s="55"/>
      <c r="C546" s="55"/>
      <c r="D546" s="174"/>
      <c r="E546" s="54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</row>
    <row r="547" spans="1:19" x14ac:dyDescent="0.25">
      <c r="A547" s="55"/>
      <c r="B547" s="55"/>
      <c r="C547" s="55"/>
      <c r="D547" s="174"/>
      <c r="E547" s="54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</row>
    <row r="548" spans="1:19" x14ac:dyDescent="0.25">
      <c r="A548" s="55"/>
      <c r="B548" s="55"/>
      <c r="C548" s="55"/>
      <c r="D548" s="174"/>
      <c r="E548" s="54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</row>
    <row r="549" spans="1:19" x14ac:dyDescent="0.25">
      <c r="A549" s="55"/>
      <c r="B549" s="55"/>
      <c r="C549" s="55"/>
      <c r="D549" s="174"/>
      <c r="E549" s="54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</row>
    <row r="550" spans="1:19" x14ac:dyDescent="0.25">
      <c r="A550" s="55"/>
      <c r="B550" s="55"/>
      <c r="C550" s="55"/>
      <c r="D550" s="174"/>
      <c r="E550" s="54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</row>
    <row r="551" spans="1:19" x14ac:dyDescent="0.25">
      <c r="A551" s="55"/>
      <c r="B551" s="55"/>
      <c r="C551" s="55"/>
      <c r="D551" s="174"/>
      <c r="E551" s="54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</row>
    <row r="552" spans="1:19" x14ac:dyDescent="0.25">
      <c r="A552" s="55"/>
      <c r="B552" s="55"/>
      <c r="C552" s="55"/>
      <c r="D552" s="174"/>
      <c r="E552" s="54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</row>
    <row r="553" spans="1:19" x14ac:dyDescent="0.25">
      <c r="A553" s="55"/>
      <c r="B553" s="55"/>
      <c r="C553" s="55"/>
      <c r="D553" s="174"/>
      <c r="E553" s="54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</row>
    <row r="554" spans="1:19" x14ac:dyDescent="0.25">
      <c r="A554" s="55"/>
      <c r="B554" s="55"/>
      <c r="C554" s="55"/>
      <c r="D554" s="174"/>
      <c r="E554" s="54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</row>
    <row r="555" spans="1:19" x14ac:dyDescent="0.25">
      <c r="A555" s="55"/>
      <c r="B555" s="55"/>
      <c r="C555" s="55"/>
      <c r="D555" s="174"/>
      <c r="E555" s="54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</row>
    <row r="556" spans="1:19" x14ac:dyDescent="0.25">
      <c r="A556" s="55"/>
      <c r="B556" s="55"/>
      <c r="C556" s="55"/>
      <c r="D556" s="174"/>
      <c r="E556" s="54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</row>
    <row r="557" spans="1:19" x14ac:dyDescent="0.25">
      <c r="A557" s="55"/>
      <c r="B557" s="55"/>
      <c r="C557" s="55"/>
      <c r="D557" s="174"/>
      <c r="E557" s="54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</row>
    <row r="558" spans="1:19" x14ac:dyDescent="0.25">
      <c r="A558" s="55"/>
      <c r="B558" s="55"/>
      <c r="C558" s="55"/>
      <c r="D558" s="174"/>
      <c r="E558" s="54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</row>
    <row r="559" spans="1:19" x14ac:dyDescent="0.25">
      <c r="A559" s="55"/>
      <c r="B559" s="55"/>
      <c r="C559" s="55"/>
      <c r="D559" s="174"/>
      <c r="E559" s="54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</row>
    <row r="560" spans="1:19" x14ac:dyDescent="0.25">
      <c r="A560" s="55"/>
      <c r="B560" s="55"/>
      <c r="C560" s="55"/>
      <c r="D560" s="174"/>
      <c r="E560" s="54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</row>
    <row r="561" spans="1:19" x14ac:dyDescent="0.25">
      <c r="A561" s="55"/>
      <c r="B561" s="55"/>
      <c r="C561" s="55"/>
      <c r="D561" s="174"/>
      <c r="E561" s="54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</row>
    <row r="562" spans="1:19" x14ac:dyDescent="0.25">
      <c r="A562" s="55"/>
      <c r="B562" s="55"/>
      <c r="C562" s="55"/>
      <c r="D562" s="174"/>
      <c r="E562" s="54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</row>
    <row r="563" spans="1:19" x14ac:dyDescent="0.25">
      <c r="A563" s="55"/>
      <c r="B563" s="55"/>
      <c r="C563" s="55"/>
      <c r="D563" s="174"/>
      <c r="E563" s="54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</row>
    <row r="564" spans="1:19" x14ac:dyDescent="0.25">
      <c r="A564" s="55"/>
      <c r="B564" s="55"/>
      <c r="C564" s="55"/>
      <c r="D564" s="174"/>
      <c r="E564" s="54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</row>
    <row r="565" spans="1:19" x14ac:dyDescent="0.25">
      <c r="A565" s="55"/>
      <c r="B565" s="55"/>
      <c r="C565" s="55"/>
      <c r="D565" s="174"/>
      <c r="E565" s="54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</row>
    <row r="566" spans="1:19" x14ac:dyDescent="0.25">
      <c r="A566" s="55"/>
      <c r="B566" s="55"/>
      <c r="C566" s="55"/>
      <c r="D566" s="174"/>
      <c r="E566" s="54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</row>
    <row r="567" spans="1:19" x14ac:dyDescent="0.25">
      <c r="A567" s="55"/>
      <c r="B567" s="55"/>
      <c r="C567" s="55"/>
      <c r="D567" s="174"/>
      <c r="E567" s="54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</row>
    <row r="568" spans="1:19" x14ac:dyDescent="0.25">
      <c r="A568" s="55"/>
      <c r="B568" s="55"/>
      <c r="C568" s="55"/>
      <c r="D568" s="174"/>
      <c r="E568" s="54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</row>
    <row r="569" spans="1:19" x14ac:dyDescent="0.25">
      <c r="A569" s="55"/>
      <c r="B569" s="55"/>
      <c r="C569" s="55"/>
      <c r="D569" s="174"/>
      <c r="E569" s="54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</row>
    <row r="570" spans="1:19" x14ac:dyDescent="0.25">
      <c r="A570" s="55"/>
      <c r="B570" s="55"/>
      <c r="C570" s="55"/>
      <c r="D570" s="174"/>
      <c r="E570" s="54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</row>
    <row r="571" spans="1:19" x14ac:dyDescent="0.25">
      <c r="A571" s="55"/>
      <c r="B571" s="55"/>
      <c r="C571" s="55"/>
      <c r="D571" s="174"/>
      <c r="E571" s="54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</row>
    <row r="572" spans="1:19" x14ac:dyDescent="0.25">
      <c r="A572" s="55"/>
      <c r="B572" s="55"/>
      <c r="C572" s="55"/>
      <c r="D572" s="174"/>
      <c r="E572" s="54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</row>
    <row r="573" spans="1:19" x14ac:dyDescent="0.25">
      <c r="A573" s="55"/>
      <c r="B573" s="55"/>
      <c r="C573" s="55"/>
      <c r="D573" s="174"/>
      <c r="E573" s="54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</row>
    <row r="574" spans="1:19" x14ac:dyDescent="0.25">
      <c r="A574" s="55"/>
      <c r="B574" s="55"/>
      <c r="C574" s="55"/>
      <c r="D574" s="174"/>
      <c r="E574" s="54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</row>
    <row r="575" spans="1:19" x14ac:dyDescent="0.25">
      <c r="A575" s="55"/>
      <c r="B575" s="55"/>
      <c r="C575" s="55"/>
      <c r="D575" s="174"/>
      <c r="E575" s="54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</row>
    <row r="576" spans="1:19" x14ac:dyDescent="0.25">
      <c r="A576" s="55"/>
      <c r="B576" s="55"/>
      <c r="C576" s="55"/>
      <c r="D576" s="174"/>
      <c r="E576" s="54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</row>
    <row r="577" spans="1:19" x14ac:dyDescent="0.25">
      <c r="A577" s="55"/>
      <c r="B577" s="55"/>
      <c r="C577" s="55"/>
      <c r="D577" s="174"/>
      <c r="E577" s="54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</row>
    <row r="578" spans="1:19" x14ac:dyDescent="0.25">
      <c r="A578" s="55"/>
      <c r="B578" s="55"/>
      <c r="C578" s="55"/>
      <c r="D578" s="174"/>
      <c r="E578" s="54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</row>
    <row r="579" spans="1:19" x14ac:dyDescent="0.25">
      <c r="A579" s="55"/>
      <c r="B579" s="55"/>
      <c r="C579" s="55"/>
      <c r="D579" s="174"/>
      <c r="E579" s="54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</row>
    <row r="580" spans="1:19" x14ac:dyDescent="0.25">
      <c r="A580" s="55"/>
      <c r="B580" s="55"/>
      <c r="C580" s="55"/>
      <c r="D580" s="174"/>
      <c r="E580" s="54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</row>
    <row r="581" spans="1:19" x14ac:dyDescent="0.25">
      <c r="A581" s="55"/>
      <c r="B581" s="55"/>
      <c r="C581" s="55"/>
      <c r="D581" s="174"/>
      <c r="E581" s="54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</row>
    <row r="582" spans="1:19" x14ac:dyDescent="0.25">
      <c r="A582" s="55"/>
      <c r="B582" s="55"/>
      <c r="C582" s="55"/>
      <c r="D582" s="174"/>
      <c r="E582" s="54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</row>
    <row r="583" spans="1:19" x14ac:dyDescent="0.25">
      <c r="A583" s="55"/>
      <c r="B583" s="55"/>
      <c r="C583" s="55"/>
      <c r="D583" s="174"/>
      <c r="E583" s="54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</row>
    <row r="584" spans="1:19" x14ac:dyDescent="0.25">
      <c r="A584" s="55"/>
      <c r="B584" s="55"/>
      <c r="C584" s="55"/>
      <c r="D584" s="174"/>
      <c r="E584" s="54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</row>
    <row r="585" spans="1:19" x14ac:dyDescent="0.25">
      <c r="A585" s="55"/>
      <c r="B585" s="55"/>
      <c r="C585" s="55"/>
      <c r="D585" s="174"/>
      <c r="E585" s="54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</row>
    <row r="586" spans="1:19" x14ac:dyDescent="0.25">
      <c r="A586" s="55"/>
      <c r="B586" s="55"/>
      <c r="C586" s="55"/>
      <c r="D586" s="174"/>
      <c r="E586" s="54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</row>
    <row r="587" spans="1:19" x14ac:dyDescent="0.25">
      <c r="A587" s="55"/>
      <c r="B587" s="55"/>
      <c r="C587" s="55"/>
      <c r="D587" s="174"/>
      <c r="E587" s="54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</row>
    <row r="588" spans="1:19" x14ac:dyDescent="0.25">
      <c r="A588" s="55"/>
      <c r="B588" s="55"/>
      <c r="C588" s="55"/>
      <c r="D588" s="174"/>
      <c r="E588" s="54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</row>
    <row r="589" spans="1:19" x14ac:dyDescent="0.25">
      <c r="A589" s="55"/>
      <c r="B589" s="55"/>
      <c r="C589" s="55"/>
      <c r="D589" s="174"/>
      <c r="E589" s="54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</row>
    <row r="590" spans="1:19" x14ac:dyDescent="0.25">
      <c r="A590" s="55"/>
      <c r="B590" s="55"/>
      <c r="C590" s="55"/>
      <c r="D590" s="174"/>
      <c r="E590" s="54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</row>
    <row r="591" spans="1:19" x14ac:dyDescent="0.25">
      <c r="A591" s="55"/>
      <c r="B591" s="55"/>
      <c r="C591" s="55"/>
      <c r="D591" s="174"/>
      <c r="E591" s="54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</row>
    <row r="592" spans="1:19" x14ac:dyDescent="0.25">
      <c r="A592" s="55"/>
      <c r="B592" s="55"/>
      <c r="C592" s="55"/>
      <c r="D592" s="174"/>
      <c r="E592" s="54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</row>
    <row r="593" spans="1:19" x14ac:dyDescent="0.25">
      <c r="A593" s="55"/>
      <c r="B593" s="55"/>
      <c r="C593" s="55"/>
      <c r="D593" s="174"/>
      <c r="E593" s="54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</row>
    <row r="594" spans="1:19" x14ac:dyDescent="0.25">
      <c r="A594" s="55"/>
      <c r="B594" s="55"/>
      <c r="C594" s="55"/>
      <c r="D594" s="174"/>
      <c r="E594" s="54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</row>
    <row r="595" spans="1:19" x14ac:dyDescent="0.25">
      <c r="A595" s="55"/>
      <c r="B595" s="55"/>
      <c r="C595" s="55"/>
      <c r="D595" s="174"/>
      <c r="E595" s="54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</row>
    <row r="596" spans="1:19" x14ac:dyDescent="0.25">
      <c r="A596" s="55"/>
      <c r="B596" s="55"/>
      <c r="C596" s="55"/>
      <c r="D596" s="174"/>
      <c r="E596" s="54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</row>
    <row r="597" spans="1:19" x14ac:dyDescent="0.25">
      <c r="A597" s="55"/>
      <c r="B597" s="55"/>
      <c r="C597" s="55"/>
      <c r="D597" s="174"/>
      <c r="E597" s="54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</row>
    <row r="598" spans="1:19" x14ac:dyDescent="0.25">
      <c r="A598" s="55"/>
      <c r="B598" s="55"/>
      <c r="C598" s="55"/>
      <c r="D598" s="174"/>
      <c r="E598" s="54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</row>
    <row r="599" spans="1:19" x14ac:dyDescent="0.25">
      <c r="A599" s="55"/>
      <c r="B599" s="55"/>
      <c r="C599" s="55"/>
      <c r="D599" s="174"/>
      <c r="E599" s="54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</row>
    <row r="600" spans="1:19" x14ac:dyDescent="0.25">
      <c r="A600" s="55"/>
      <c r="B600" s="55"/>
      <c r="C600" s="55"/>
      <c r="D600" s="174"/>
      <c r="E600" s="54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</row>
    <row r="601" spans="1:19" x14ac:dyDescent="0.25">
      <c r="A601" s="55"/>
      <c r="B601" s="55"/>
      <c r="C601" s="55"/>
      <c r="D601" s="174"/>
      <c r="E601" s="54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</row>
    <row r="602" spans="1:19" x14ac:dyDescent="0.25">
      <c r="A602" s="55"/>
      <c r="B602" s="55"/>
      <c r="C602" s="55"/>
      <c r="D602" s="174"/>
      <c r="E602" s="54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</row>
    <row r="603" spans="1:19" x14ac:dyDescent="0.25">
      <c r="A603" s="55"/>
      <c r="B603" s="55"/>
      <c r="C603" s="55"/>
      <c r="D603" s="174"/>
      <c r="E603" s="54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</row>
    <row r="604" spans="1:19" x14ac:dyDescent="0.25">
      <c r="A604" s="55"/>
      <c r="B604" s="55"/>
      <c r="C604" s="55"/>
      <c r="D604" s="174"/>
      <c r="E604" s="54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</row>
    <row r="605" spans="1:19" x14ac:dyDescent="0.25">
      <c r="A605" s="55"/>
      <c r="B605" s="55"/>
      <c r="C605" s="55"/>
      <c r="D605" s="174"/>
      <c r="E605" s="54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</row>
    <row r="606" spans="1:19" x14ac:dyDescent="0.25">
      <c r="A606" s="55"/>
      <c r="B606" s="55"/>
      <c r="C606" s="55"/>
      <c r="D606" s="174"/>
      <c r="E606" s="54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</row>
    <row r="607" spans="1:19" x14ac:dyDescent="0.25">
      <c r="A607" s="55"/>
      <c r="B607" s="55"/>
      <c r="C607" s="55"/>
      <c r="D607" s="174"/>
      <c r="E607" s="54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</row>
    <row r="608" spans="1:19" x14ac:dyDescent="0.25">
      <c r="A608" s="55"/>
      <c r="B608" s="55"/>
      <c r="C608" s="55"/>
      <c r="D608" s="174"/>
      <c r="E608" s="54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</row>
    <row r="609" spans="1:19" x14ac:dyDescent="0.25">
      <c r="A609" s="55"/>
      <c r="B609" s="55"/>
      <c r="C609" s="55"/>
      <c r="D609" s="174"/>
      <c r="E609" s="54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</row>
    <row r="610" spans="1:19" x14ac:dyDescent="0.25">
      <c r="A610" s="55"/>
      <c r="B610" s="55"/>
      <c r="C610" s="55"/>
      <c r="D610" s="174"/>
      <c r="E610" s="54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</row>
    <row r="611" spans="1:19" x14ac:dyDescent="0.25">
      <c r="A611" s="55"/>
      <c r="B611" s="55"/>
      <c r="C611" s="55"/>
      <c r="D611" s="174"/>
      <c r="E611" s="54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</row>
    <row r="612" spans="1:19" x14ac:dyDescent="0.25">
      <c r="A612" s="55"/>
      <c r="B612" s="55"/>
      <c r="C612" s="55"/>
      <c r="D612" s="174"/>
      <c r="E612" s="54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</row>
    <row r="613" spans="1:19" x14ac:dyDescent="0.25">
      <c r="A613" s="55"/>
      <c r="B613" s="55"/>
      <c r="C613" s="55"/>
      <c r="D613" s="174"/>
      <c r="E613" s="54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</row>
    <row r="614" spans="1:19" x14ac:dyDescent="0.25">
      <c r="A614" s="55"/>
      <c r="B614" s="55"/>
      <c r="C614" s="55"/>
      <c r="D614" s="174"/>
      <c r="E614" s="54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</row>
    <row r="615" spans="1:19" x14ac:dyDescent="0.25">
      <c r="A615" s="55"/>
      <c r="B615" s="55"/>
      <c r="C615" s="55"/>
      <c r="D615" s="174"/>
      <c r="E615" s="54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</row>
    <row r="616" spans="1:19" x14ac:dyDescent="0.25">
      <c r="A616" s="55"/>
      <c r="B616" s="55"/>
      <c r="C616" s="55"/>
      <c r="D616" s="174"/>
      <c r="E616" s="54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</row>
    <row r="617" spans="1:19" x14ac:dyDescent="0.25">
      <c r="A617" s="55"/>
      <c r="B617" s="55"/>
      <c r="C617" s="55"/>
      <c r="D617" s="174"/>
      <c r="E617" s="54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</row>
    <row r="618" spans="1:19" x14ac:dyDescent="0.25">
      <c r="A618" s="55"/>
      <c r="B618" s="55"/>
      <c r="C618" s="55"/>
      <c r="D618" s="174"/>
      <c r="E618" s="54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</row>
    <row r="619" spans="1:19" x14ac:dyDescent="0.25">
      <c r="A619" s="55"/>
      <c r="B619" s="55"/>
      <c r="C619" s="55"/>
      <c r="D619" s="174"/>
      <c r="E619" s="54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</row>
    <row r="620" spans="1:19" x14ac:dyDescent="0.25">
      <c r="A620" s="55"/>
      <c r="B620" s="55"/>
      <c r="C620" s="55"/>
      <c r="D620" s="174"/>
      <c r="E620" s="54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</row>
    <row r="621" spans="1:19" x14ac:dyDescent="0.25">
      <c r="A621" s="55"/>
      <c r="B621" s="55"/>
      <c r="C621" s="55"/>
      <c r="D621" s="174"/>
      <c r="E621" s="54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</row>
    <row r="622" spans="1:19" x14ac:dyDescent="0.25">
      <c r="A622" s="55"/>
      <c r="B622" s="55"/>
      <c r="C622" s="55"/>
      <c r="D622" s="174"/>
      <c r="E622" s="54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</row>
    <row r="623" spans="1:19" x14ac:dyDescent="0.25">
      <c r="A623" s="55"/>
      <c r="B623" s="55"/>
      <c r="C623" s="55"/>
      <c r="D623" s="174"/>
      <c r="E623" s="54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</row>
    <row r="624" spans="1:19" x14ac:dyDescent="0.25">
      <c r="A624" s="55"/>
      <c r="B624" s="55"/>
      <c r="C624" s="55"/>
      <c r="D624" s="174"/>
      <c r="E624" s="54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</row>
    <row r="625" spans="1:19" x14ac:dyDescent="0.25">
      <c r="A625" s="55"/>
      <c r="B625" s="55"/>
      <c r="C625" s="55"/>
      <c r="D625" s="174"/>
      <c r="E625" s="54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</row>
    <row r="626" spans="1:19" x14ac:dyDescent="0.25">
      <c r="A626" s="55"/>
      <c r="B626" s="55"/>
      <c r="C626" s="55"/>
      <c r="D626" s="174"/>
      <c r="E626" s="54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</row>
    <row r="627" spans="1:19" x14ac:dyDescent="0.25">
      <c r="A627" s="55"/>
      <c r="B627" s="55"/>
      <c r="C627" s="55"/>
      <c r="D627" s="174"/>
      <c r="E627" s="54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</row>
    <row r="628" spans="1:19" x14ac:dyDescent="0.25">
      <c r="A628" s="55"/>
      <c r="B628" s="55"/>
      <c r="C628" s="55"/>
      <c r="D628" s="174"/>
      <c r="E628" s="54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</row>
    <row r="629" spans="1:19" x14ac:dyDescent="0.25">
      <c r="A629" s="55"/>
      <c r="B629" s="55"/>
      <c r="C629" s="55"/>
      <c r="D629" s="174"/>
      <c r="E629" s="54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</row>
    <row r="630" spans="1:19" x14ac:dyDescent="0.25">
      <c r="A630" s="55"/>
      <c r="B630" s="55"/>
      <c r="C630" s="55"/>
      <c r="D630" s="174"/>
      <c r="E630" s="54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</row>
    <row r="631" spans="1:19" x14ac:dyDescent="0.25">
      <c r="A631" s="55"/>
      <c r="B631" s="55"/>
      <c r="C631" s="55"/>
      <c r="D631" s="174"/>
      <c r="E631" s="54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</row>
    <row r="632" spans="1:19" x14ac:dyDescent="0.25">
      <c r="A632" s="55"/>
      <c r="B632" s="55"/>
      <c r="C632" s="55"/>
      <c r="D632" s="174"/>
      <c r="E632" s="54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</row>
    <row r="633" spans="1:19" x14ac:dyDescent="0.25">
      <c r="A633" s="55"/>
      <c r="B633" s="55"/>
      <c r="C633" s="55"/>
      <c r="D633" s="174"/>
      <c r="E633" s="54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</row>
    <row r="634" spans="1:19" x14ac:dyDescent="0.25">
      <c r="A634" s="55"/>
      <c r="B634" s="55"/>
      <c r="C634" s="55"/>
      <c r="D634" s="174"/>
      <c r="E634" s="54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</row>
    <row r="635" spans="1:19" x14ac:dyDescent="0.25">
      <c r="A635" s="55"/>
      <c r="B635" s="55"/>
      <c r="C635" s="55"/>
      <c r="D635" s="174"/>
      <c r="E635" s="54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</row>
    <row r="636" spans="1:19" x14ac:dyDescent="0.25">
      <c r="A636" s="55"/>
      <c r="B636" s="55"/>
      <c r="C636" s="55"/>
      <c r="D636" s="174"/>
      <c r="E636" s="54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</row>
    <row r="637" spans="1:19" x14ac:dyDescent="0.25">
      <c r="A637" s="55"/>
      <c r="B637" s="55"/>
      <c r="C637" s="55"/>
      <c r="D637" s="174"/>
      <c r="E637" s="54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</row>
    <row r="638" spans="1:19" x14ac:dyDescent="0.25">
      <c r="A638" s="55"/>
      <c r="B638" s="55"/>
      <c r="C638" s="55"/>
      <c r="D638" s="174"/>
      <c r="E638" s="54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</row>
    <row r="639" spans="1:19" x14ac:dyDescent="0.25">
      <c r="A639" s="55"/>
      <c r="B639" s="55"/>
      <c r="C639" s="55"/>
      <c r="D639" s="174"/>
      <c r="E639" s="54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</row>
    <row r="640" spans="1:19" x14ac:dyDescent="0.25">
      <c r="A640" s="55"/>
      <c r="B640" s="55"/>
      <c r="C640" s="55"/>
      <c r="D640" s="174"/>
      <c r="E640" s="54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</row>
    <row r="641" spans="1:19" x14ac:dyDescent="0.25">
      <c r="A641" s="55"/>
      <c r="B641" s="55"/>
      <c r="C641" s="55"/>
      <c r="D641" s="174"/>
      <c r="E641" s="54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</row>
    <row r="642" spans="1:19" x14ac:dyDescent="0.25">
      <c r="A642" s="55"/>
      <c r="B642" s="55"/>
      <c r="C642" s="55"/>
      <c r="D642" s="174"/>
      <c r="E642" s="54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</row>
    <row r="643" spans="1:19" x14ac:dyDescent="0.25">
      <c r="A643" s="55"/>
      <c r="B643" s="55"/>
      <c r="C643" s="55"/>
      <c r="D643" s="174"/>
      <c r="E643" s="54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</row>
    <row r="644" spans="1:19" x14ac:dyDescent="0.25">
      <c r="A644" s="55"/>
      <c r="B644" s="55"/>
      <c r="C644" s="55"/>
      <c r="D644" s="174"/>
      <c r="E644" s="54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</row>
    <row r="645" spans="1:19" x14ac:dyDescent="0.25">
      <c r="A645" s="55"/>
      <c r="B645" s="55"/>
      <c r="C645" s="55"/>
      <c r="D645" s="174"/>
      <c r="E645" s="54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</row>
    <row r="646" spans="1:19" x14ac:dyDescent="0.25">
      <c r="A646" s="55"/>
      <c r="B646" s="55"/>
      <c r="C646" s="55"/>
      <c r="D646" s="174"/>
      <c r="E646" s="54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</row>
    <row r="647" spans="1:19" x14ac:dyDescent="0.25">
      <c r="A647" s="55"/>
      <c r="B647" s="55"/>
      <c r="C647" s="55"/>
      <c r="D647" s="174"/>
      <c r="E647" s="54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</row>
    <row r="648" spans="1:19" x14ac:dyDescent="0.25">
      <c r="A648" s="55"/>
      <c r="B648" s="55"/>
      <c r="C648" s="55"/>
      <c r="D648" s="174"/>
      <c r="E648" s="54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</row>
    <row r="649" spans="1:19" x14ac:dyDescent="0.25">
      <c r="A649" s="55"/>
      <c r="B649" s="55"/>
      <c r="C649" s="55"/>
      <c r="D649" s="174"/>
      <c r="E649" s="54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</row>
    <row r="650" spans="1:19" x14ac:dyDescent="0.25">
      <c r="A650" s="55"/>
      <c r="B650" s="55"/>
      <c r="C650" s="55"/>
      <c r="D650" s="174"/>
      <c r="E650" s="54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</row>
    <row r="651" spans="1:19" x14ac:dyDescent="0.25">
      <c r="A651" s="55"/>
      <c r="B651" s="55"/>
      <c r="C651" s="55"/>
      <c r="D651" s="174"/>
      <c r="E651" s="54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</row>
    <row r="652" spans="1:19" x14ac:dyDescent="0.25">
      <c r="A652" s="55"/>
      <c r="B652" s="55"/>
      <c r="C652" s="55"/>
      <c r="D652" s="174"/>
      <c r="E652" s="54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</row>
    <row r="653" spans="1:19" x14ac:dyDescent="0.25">
      <c r="A653" s="55"/>
      <c r="B653" s="55"/>
      <c r="C653" s="55"/>
      <c r="D653" s="174"/>
      <c r="E653" s="54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</row>
    <row r="654" spans="1:19" x14ac:dyDescent="0.25">
      <c r="A654" s="55"/>
      <c r="B654" s="55"/>
      <c r="C654" s="55"/>
      <c r="D654" s="174"/>
      <c r="E654" s="54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</row>
    <row r="655" spans="1:19" x14ac:dyDescent="0.25">
      <c r="A655" s="55"/>
      <c r="B655" s="55"/>
      <c r="C655" s="55"/>
      <c r="D655" s="174"/>
      <c r="E655" s="54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</row>
    <row r="656" spans="1:19" x14ac:dyDescent="0.25">
      <c r="A656" s="55"/>
      <c r="B656" s="55"/>
      <c r="C656" s="55"/>
      <c r="D656" s="174"/>
      <c r="E656" s="54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</row>
    <row r="657" spans="1:19" x14ac:dyDescent="0.25">
      <c r="A657" s="55"/>
      <c r="B657" s="55"/>
      <c r="C657" s="55"/>
      <c r="D657" s="174"/>
      <c r="E657" s="54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</row>
    <row r="658" spans="1:19" x14ac:dyDescent="0.25">
      <c r="A658" s="55"/>
      <c r="B658" s="55"/>
      <c r="C658" s="55"/>
      <c r="D658" s="174"/>
      <c r="E658" s="54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</row>
    <row r="659" spans="1:19" x14ac:dyDescent="0.25">
      <c r="A659" s="55"/>
      <c r="B659" s="55"/>
      <c r="C659" s="55"/>
      <c r="D659" s="174"/>
      <c r="E659" s="54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</row>
    <row r="660" spans="1:19" x14ac:dyDescent="0.25">
      <c r="A660" s="55"/>
      <c r="B660" s="55"/>
      <c r="C660" s="55"/>
      <c r="D660" s="174"/>
      <c r="E660" s="54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</row>
    <row r="661" spans="1:19" x14ac:dyDescent="0.25">
      <c r="A661" s="55"/>
      <c r="B661" s="55"/>
      <c r="C661" s="55"/>
      <c r="D661" s="174"/>
      <c r="E661" s="54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</row>
    <row r="662" spans="1:19" x14ac:dyDescent="0.25">
      <c r="A662" s="55"/>
      <c r="B662" s="55"/>
      <c r="C662" s="55"/>
      <c r="D662" s="174"/>
      <c r="E662" s="54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</row>
    <row r="663" spans="1:19" x14ac:dyDescent="0.25">
      <c r="A663" s="55"/>
      <c r="B663" s="55"/>
      <c r="C663" s="55"/>
      <c r="D663" s="174"/>
      <c r="E663" s="54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</row>
    <row r="664" spans="1:19" x14ac:dyDescent="0.25">
      <c r="A664" s="55"/>
      <c r="B664" s="55"/>
      <c r="C664" s="55"/>
      <c r="D664" s="174"/>
      <c r="E664" s="54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</row>
    <row r="665" spans="1:19" x14ac:dyDescent="0.25">
      <c r="A665" s="55"/>
      <c r="B665" s="55"/>
      <c r="C665" s="55"/>
      <c r="D665" s="174"/>
      <c r="E665" s="54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</row>
    <row r="666" spans="1:19" x14ac:dyDescent="0.25">
      <c r="A666" s="55"/>
      <c r="B666" s="55"/>
      <c r="C666" s="55"/>
      <c r="D666" s="174"/>
      <c r="E666" s="54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</row>
    <row r="667" spans="1:19" x14ac:dyDescent="0.25">
      <c r="A667" s="55"/>
      <c r="B667" s="55"/>
      <c r="C667" s="55"/>
      <c r="D667" s="174"/>
      <c r="E667" s="54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</row>
    <row r="668" spans="1:19" x14ac:dyDescent="0.25">
      <c r="A668" s="55"/>
      <c r="B668" s="55"/>
      <c r="C668" s="55"/>
      <c r="D668" s="174"/>
      <c r="E668" s="54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</row>
    <row r="669" spans="1:19" x14ac:dyDescent="0.25">
      <c r="A669" s="55"/>
      <c r="B669" s="55"/>
      <c r="C669" s="55"/>
      <c r="D669" s="174"/>
      <c r="E669" s="54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</row>
    <row r="670" spans="1:19" x14ac:dyDescent="0.25">
      <c r="A670" s="55"/>
      <c r="B670" s="55"/>
      <c r="C670" s="55"/>
      <c r="D670" s="174"/>
      <c r="E670" s="54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</row>
    <row r="671" spans="1:19" x14ac:dyDescent="0.25">
      <c r="A671" s="55"/>
      <c r="B671" s="55"/>
      <c r="C671" s="55"/>
      <c r="D671" s="174"/>
      <c r="E671" s="54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</row>
    <row r="672" spans="1:19" x14ac:dyDescent="0.25">
      <c r="A672" s="55"/>
      <c r="B672" s="55"/>
      <c r="C672" s="55"/>
      <c r="D672" s="174"/>
      <c r="E672" s="54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</row>
    <row r="673" spans="1:19" x14ac:dyDescent="0.25">
      <c r="A673" s="55"/>
      <c r="B673" s="55"/>
      <c r="C673" s="55"/>
      <c r="D673" s="174"/>
      <c r="E673" s="54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</row>
    <row r="674" spans="1:19" x14ac:dyDescent="0.25">
      <c r="A674" s="55"/>
      <c r="B674" s="55"/>
      <c r="C674" s="55"/>
      <c r="D674" s="174"/>
      <c r="E674" s="54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</row>
    <row r="675" spans="1:19" x14ac:dyDescent="0.25">
      <c r="A675" s="55"/>
      <c r="B675" s="55"/>
      <c r="C675" s="55"/>
      <c r="D675" s="174"/>
      <c r="E675" s="54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</row>
    <row r="676" spans="1:19" x14ac:dyDescent="0.25">
      <c r="A676" s="55"/>
      <c r="B676" s="55"/>
      <c r="C676" s="55"/>
      <c r="D676" s="174"/>
      <c r="E676" s="54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</row>
    <row r="677" spans="1:19" x14ac:dyDescent="0.25">
      <c r="A677" s="55"/>
      <c r="B677" s="55"/>
      <c r="C677" s="55"/>
      <c r="D677" s="174"/>
      <c r="E677" s="54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</row>
    <row r="678" spans="1:19" x14ac:dyDescent="0.25">
      <c r="A678" s="55"/>
      <c r="B678" s="55"/>
      <c r="C678" s="55"/>
      <c r="D678" s="174"/>
      <c r="E678" s="54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</row>
    <row r="679" spans="1:19" x14ac:dyDescent="0.25">
      <c r="A679" s="55"/>
      <c r="B679" s="55"/>
      <c r="C679" s="55"/>
      <c r="D679" s="174"/>
      <c r="E679" s="54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</row>
    <row r="680" spans="1:19" x14ac:dyDescent="0.25">
      <c r="A680" s="55"/>
      <c r="B680" s="55"/>
      <c r="C680" s="55"/>
      <c r="D680" s="174"/>
      <c r="E680" s="54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</row>
    <row r="681" spans="1:19" x14ac:dyDescent="0.25">
      <c r="A681" s="55"/>
      <c r="B681" s="55"/>
      <c r="C681" s="55"/>
      <c r="D681" s="174"/>
      <c r="E681" s="54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</row>
    <row r="682" spans="1:19" x14ac:dyDescent="0.25">
      <c r="A682" s="55"/>
      <c r="B682" s="55"/>
      <c r="C682" s="55"/>
      <c r="D682" s="174"/>
      <c r="E682" s="54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</row>
    <row r="683" spans="1:19" x14ac:dyDescent="0.25">
      <c r="A683" s="55"/>
      <c r="B683" s="55"/>
      <c r="C683" s="55"/>
      <c r="D683" s="174"/>
      <c r="E683" s="54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</row>
    <row r="684" spans="1:19" x14ac:dyDescent="0.25">
      <c r="A684" s="55"/>
      <c r="B684" s="55"/>
      <c r="C684" s="55"/>
      <c r="D684" s="174"/>
      <c r="E684" s="54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</row>
    <row r="685" spans="1:19" x14ac:dyDescent="0.25">
      <c r="A685" s="55"/>
      <c r="B685" s="55"/>
      <c r="C685" s="55"/>
      <c r="D685" s="174"/>
      <c r="E685" s="54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</row>
    <row r="686" spans="1:19" x14ac:dyDescent="0.25">
      <c r="A686" s="55"/>
      <c r="B686" s="55"/>
      <c r="C686" s="55"/>
      <c r="D686" s="174"/>
      <c r="E686" s="54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</row>
    <row r="687" spans="1:19" x14ac:dyDescent="0.25">
      <c r="A687" s="55"/>
      <c r="B687" s="55"/>
      <c r="C687" s="55"/>
      <c r="D687" s="174"/>
      <c r="E687" s="54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</row>
    <row r="688" spans="1:19" x14ac:dyDescent="0.25">
      <c r="A688" s="55"/>
      <c r="B688" s="55"/>
      <c r="C688" s="55"/>
      <c r="D688" s="174"/>
      <c r="E688" s="54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</row>
    <row r="689" spans="1:19" x14ac:dyDescent="0.25">
      <c r="A689" s="55"/>
      <c r="B689" s="55"/>
      <c r="C689" s="55"/>
      <c r="D689" s="174"/>
      <c r="E689" s="54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</row>
    <row r="690" spans="1:19" x14ac:dyDescent="0.25">
      <c r="A690" s="55"/>
      <c r="B690" s="55"/>
      <c r="C690" s="55"/>
      <c r="D690" s="174"/>
      <c r="E690" s="54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</row>
    <row r="691" spans="1:19" x14ac:dyDescent="0.25">
      <c r="A691" s="55"/>
      <c r="B691" s="55"/>
      <c r="C691" s="55"/>
      <c r="D691" s="174"/>
      <c r="E691" s="54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</row>
    <row r="692" spans="1:19" x14ac:dyDescent="0.25">
      <c r="A692" s="55"/>
      <c r="B692" s="55"/>
      <c r="C692" s="55"/>
      <c r="D692" s="174"/>
      <c r="E692" s="54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</row>
    <row r="693" spans="1:19" x14ac:dyDescent="0.25">
      <c r="A693" s="55"/>
      <c r="B693" s="55"/>
      <c r="C693" s="55"/>
      <c r="D693" s="174"/>
      <c r="E693" s="54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</row>
    <row r="694" spans="1:19" x14ac:dyDescent="0.25">
      <c r="A694" s="55"/>
      <c r="B694" s="55"/>
      <c r="C694" s="55"/>
      <c r="D694" s="174"/>
      <c r="E694" s="54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</row>
    <row r="695" spans="1:19" x14ac:dyDescent="0.25">
      <c r="A695" s="55"/>
      <c r="B695" s="55"/>
      <c r="C695" s="55"/>
      <c r="D695" s="174"/>
      <c r="E695" s="54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</row>
    <row r="696" spans="1:19" x14ac:dyDescent="0.25">
      <c r="A696" s="55"/>
      <c r="B696" s="55"/>
      <c r="C696" s="55"/>
      <c r="D696" s="174"/>
      <c r="E696" s="54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</row>
    <row r="697" spans="1:19" x14ac:dyDescent="0.25">
      <c r="A697" s="55"/>
      <c r="B697" s="55"/>
      <c r="C697" s="55"/>
      <c r="D697" s="174"/>
      <c r="E697" s="54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</row>
    <row r="698" spans="1:19" x14ac:dyDescent="0.25">
      <c r="A698" s="55"/>
      <c r="B698" s="55"/>
      <c r="C698" s="55"/>
      <c r="D698" s="174"/>
      <c r="E698" s="54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</row>
    <row r="699" spans="1:19" x14ac:dyDescent="0.25">
      <c r="A699" s="55"/>
      <c r="B699" s="55"/>
      <c r="C699" s="55"/>
      <c r="D699" s="174"/>
      <c r="E699" s="54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</row>
    <row r="700" spans="1:19" x14ac:dyDescent="0.25">
      <c r="A700" s="55"/>
      <c r="B700" s="55"/>
      <c r="C700" s="55"/>
      <c r="D700" s="174"/>
      <c r="E700" s="54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</row>
    <row r="701" spans="1:19" x14ac:dyDescent="0.25">
      <c r="A701" s="55"/>
      <c r="B701" s="55"/>
      <c r="C701" s="55"/>
      <c r="D701" s="174"/>
      <c r="E701" s="54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</row>
    <row r="702" spans="1:19" x14ac:dyDescent="0.25">
      <c r="A702" s="55"/>
      <c r="B702" s="55"/>
      <c r="C702" s="55"/>
      <c r="D702" s="174"/>
      <c r="E702" s="54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</row>
    <row r="703" spans="1:19" x14ac:dyDescent="0.25">
      <c r="A703" s="55"/>
      <c r="B703" s="55"/>
      <c r="C703" s="55"/>
      <c r="D703" s="174"/>
      <c r="E703" s="54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55"/>
      <c r="B704" s="55"/>
      <c r="C704" s="55"/>
      <c r="D704" s="174"/>
      <c r="E704" s="54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</row>
    <row r="705" spans="1:19" x14ac:dyDescent="0.25">
      <c r="A705" s="55"/>
      <c r="B705" s="55"/>
      <c r="C705" s="55"/>
      <c r="D705" s="174"/>
      <c r="E705" s="54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</row>
    <row r="706" spans="1:19" x14ac:dyDescent="0.25">
      <c r="A706" s="55"/>
      <c r="B706" s="55"/>
      <c r="C706" s="55"/>
      <c r="D706" s="174"/>
      <c r="E706" s="54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</row>
    <row r="707" spans="1:19" x14ac:dyDescent="0.25">
      <c r="A707" s="55"/>
      <c r="B707" s="55"/>
      <c r="C707" s="55"/>
      <c r="D707" s="174"/>
      <c r="E707" s="54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</row>
    <row r="708" spans="1:19" x14ac:dyDescent="0.25">
      <c r="A708" s="55"/>
      <c r="B708" s="55"/>
      <c r="C708" s="55"/>
      <c r="D708" s="174"/>
      <c r="E708" s="54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</row>
    <row r="709" spans="1:19" x14ac:dyDescent="0.25">
      <c r="A709" s="55"/>
      <c r="B709" s="55"/>
      <c r="C709" s="55"/>
      <c r="D709" s="174"/>
      <c r="E709" s="54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</row>
    <row r="710" spans="1:19" x14ac:dyDescent="0.25">
      <c r="A710" s="55"/>
      <c r="B710" s="55"/>
      <c r="C710" s="55"/>
      <c r="D710" s="174"/>
      <c r="E710" s="54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</row>
    <row r="711" spans="1:19" x14ac:dyDescent="0.25">
      <c r="A711" s="55"/>
      <c r="B711" s="55"/>
      <c r="C711" s="55"/>
      <c r="D711" s="174"/>
      <c r="E711" s="54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</row>
    <row r="712" spans="1:19" x14ac:dyDescent="0.25">
      <c r="A712" s="55"/>
      <c r="B712" s="55"/>
      <c r="C712" s="55"/>
      <c r="D712" s="174"/>
      <c r="E712" s="54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</row>
    <row r="713" spans="1:19" x14ac:dyDescent="0.25">
      <c r="A713" s="55"/>
      <c r="B713" s="55"/>
      <c r="C713" s="55"/>
      <c r="D713" s="174"/>
      <c r="E713" s="54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</row>
    <row r="714" spans="1:19" x14ac:dyDescent="0.25">
      <c r="A714" s="55"/>
      <c r="B714" s="55"/>
      <c r="C714" s="55"/>
      <c r="D714" s="174"/>
      <c r="E714" s="54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</row>
    <row r="715" spans="1:19" x14ac:dyDescent="0.25">
      <c r="A715" s="55"/>
      <c r="B715" s="55"/>
      <c r="C715" s="55"/>
      <c r="D715" s="174"/>
      <c r="E715" s="54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</row>
    <row r="716" spans="1:19" x14ac:dyDescent="0.25">
      <c r="A716" s="55"/>
      <c r="B716" s="55"/>
      <c r="C716" s="55"/>
      <c r="D716" s="174"/>
      <c r="E716" s="54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</row>
    <row r="717" spans="1:19" x14ac:dyDescent="0.25">
      <c r="A717" s="55"/>
      <c r="B717" s="55"/>
      <c r="C717" s="55"/>
      <c r="D717" s="174"/>
      <c r="E717" s="54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</row>
    <row r="718" spans="1:19" x14ac:dyDescent="0.25">
      <c r="A718" s="55"/>
      <c r="B718" s="55"/>
      <c r="C718" s="55"/>
      <c r="D718" s="174"/>
      <c r="E718" s="54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</row>
    <row r="719" spans="1:19" x14ac:dyDescent="0.25">
      <c r="A719" s="55"/>
      <c r="B719" s="55"/>
      <c r="C719" s="55"/>
      <c r="D719" s="174"/>
      <c r="E719" s="54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</row>
    <row r="720" spans="1:19" x14ac:dyDescent="0.25">
      <c r="A720" s="55"/>
      <c r="B720" s="55"/>
      <c r="C720" s="55"/>
      <c r="D720" s="174"/>
      <c r="E720" s="54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</row>
    <row r="721" spans="1:19" x14ac:dyDescent="0.25">
      <c r="A721" s="55"/>
      <c r="B721" s="55"/>
      <c r="C721" s="55"/>
      <c r="D721" s="174"/>
      <c r="E721" s="54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</row>
    <row r="722" spans="1:19" x14ac:dyDescent="0.25">
      <c r="A722" s="55"/>
      <c r="B722" s="55"/>
      <c r="C722" s="55"/>
      <c r="D722" s="174"/>
      <c r="E722" s="54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</row>
    <row r="723" spans="1:19" x14ac:dyDescent="0.25">
      <c r="A723" s="55"/>
      <c r="B723" s="55"/>
      <c r="C723" s="55"/>
      <c r="D723" s="174"/>
      <c r="E723" s="54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</row>
    <row r="724" spans="1:19" x14ac:dyDescent="0.25">
      <c r="A724" s="55"/>
      <c r="B724" s="55"/>
      <c r="C724" s="55"/>
      <c r="D724" s="174"/>
      <c r="E724" s="54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</row>
    <row r="725" spans="1:19" x14ac:dyDescent="0.25">
      <c r="A725" s="55"/>
      <c r="B725" s="55"/>
      <c r="C725" s="55"/>
      <c r="D725" s="174"/>
      <c r="E725" s="54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</row>
    <row r="726" spans="1:19" x14ac:dyDescent="0.25">
      <c r="A726" s="55"/>
      <c r="B726" s="55"/>
      <c r="C726" s="55"/>
      <c r="D726" s="174"/>
      <c r="E726" s="54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</row>
    <row r="727" spans="1:19" x14ac:dyDescent="0.25">
      <c r="A727" s="55"/>
      <c r="B727" s="55"/>
      <c r="C727" s="55"/>
      <c r="D727" s="174"/>
      <c r="E727" s="54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</row>
    <row r="728" spans="1:19" x14ac:dyDescent="0.25">
      <c r="A728" s="55"/>
      <c r="B728" s="55"/>
      <c r="C728" s="55"/>
      <c r="D728" s="174"/>
      <c r="E728" s="54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</row>
    <row r="729" spans="1:19" x14ac:dyDescent="0.25">
      <c r="A729" s="55"/>
      <c r="B729" s="55"/>
      <c r="C729" s="55"/>
      <c r="D729" s="174"/>
      <c r="E729" s="54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</row>
    <row r="730" spans="1:19" x14ac:dyDescent="0.25">
      <c r="A730" s="55"/>
      <c r="B730" s="55"/>
      <c r="C730" s="55"/>
      <c r="D730" s="174"/>
      <c r="E730" s="54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</row>
    <row r="731" spans="1:19" x14ac:dyDescent="0.25">
      <c r="A731" s="55"/>
      <c r="B731" s="55"/>
      <c r="C731" s="55"/>
      <c r="D731" s="174"/>
      <c r="E731" s="54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</row>
    <row r="732" spans="1:19" x14ac:dyDescent="0.25">
      <c r="A732" s="55"/>
      <c r="B732" s="55"/>
      <c r="C732" s="55"/>
      <c r="D732" s="174"/>
      <c r="E732" s="54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</row>
    <row r="733" spans="1:19" x14ac:dyDescent="0.25">
      <c r="A733" s="55"/>
      <c r="B733" s="55"/>
      <c r="C733" s="55"/>
      <c r="D733" s="174"/>
      <c r="E733" s="54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</row>
    <row r="734" spans="1:19" x14ac:dyDescent="0.25">
      <c r="A734" s="55"/>
      <c r="B734" s="55"/>
      <c r="C734" s="55"/>
      <c r="D734" s="174"/>
      <c r="E734" s="54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</row>
    <row r="735" spans="1:19" x14ac:dyDescent="0.25">
      <c r="A735" s="55"/>
      <c r="B735" s="55"/>
      <c r="C735" s="55"/>
      <c r="D735" s="174"/>
      <c r="E735" s="54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</row>
    <row r="736" spans="1:19" x14ac:dyDescent="0.25">
      <c r="A736" s="55"/>
      <c r="B736" s="55"/>
      <c r="C736" s="55"/>
      <c r="D736" s="174"/>
      <c r="E736" s="54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</row>
    <row r="737" spans="1:19" x14ac:dyDescent="0.25">
      <c r="A737" s="55"/>
      <c r="B737" s="55"/>
      <c r="C737" s="55"/>
      <c r="D737" s="174"/>
      <c r="E737" s="54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</row>
    <row r="738" spans="1:19" x14ac:dyDescent="0.25">
      <c r="A738" s="55"/>
      <c r="B738" s="55"/>
      <c r="C738" s="55"/>
      <c r="D738" s="174"/>
      <c r="E738" s="54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</row>
    <row r="739" spans="1:19" x14ac:dyDescent="0.25">
      <c r="A739" s="55"/>
      <c r="B739" s="55"/>
      <c r="C739" s="55"/>
      <c r="D739" s="174"/>
      <c r="E739" s="54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</row>
    <row r="740" spans="1:19" x14ac:dyDescent="0.25">
      <c r="A740" s="55"/>
      <c r="B740" s="55"/>
      <c r="C740" s="55"/>
      <c r="D740" s="174"/>
      <c r="E740" s="54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</row>
    <row r="741" spans="1:19" x14ac:dyDescent="0.25">
      <c r="A741" s="55"/>
      <c r="B741" s="55"/>
      <c r="C741" s="55"/>
      <c r="D741" s="174"/>
      <c r="E741" s="54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</row>
    <row r="742" spans="1:19" x14ac:dyDescent="0.25">
      <c r="A742" s="55"/>
      <c r="B742" s="55"/>
      <c r="C742" s="55"/>
      <c r="D742" s="174"/>
      <c r="E742" s="54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</row>
    <row r="743" spans="1:19" x14ac:dyDescent="0.25">
      <c r="A743" s="55"/>
      <c r="B743" s="55"/>
      <c r="C743" s="55"/>
      <c r="D743" s="174"/>
      <c r="E743" s="54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</row>
    <row r="744" spans="1:19" x14ac:dyDescent="0.25">
      <c r="A744" s="55"/>
      <c r="B744" s="55"/>
      <c r="C744" s="55"/>
      <c r="D744" s="174"/>
      <c r="E744" s="54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</row>
    <row r="745" spans="1:19" x14ac:dyDescent="0.25">
      <c r="A745" s="55"/>
      <c r="B745" s="55"/>
      <c r="C745" s="55"/>
      <c r="D745" s="174"/>
      <c r="E745" s="54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</row>
    <row r="746" spans="1:19" x14ac:dyDescent="0.25">
      <c r="A746" s="55"/>
      <c r="B746" s="55"/>
      <c r="C746" s="55"/>
      <c r="D746" s="174"/>
      <c r="E746" s="54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</row>
    <row r="747" spans="1:19" x14ac:dyDescent="0.25">
      <c r="A747" s="55"/>
      <c r="B747" s="55"/>
      <c r="C747" s="55"/>
      <c r="D747" s="174"/>
      <c r="E747" s="54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</row>
    <row r="748" spans="1:19" x14ac:dyDescent="0.25">
      <c r="A748" s="55"/>
      <c r="B748" s="55"/>
      <c r="C748" s="55"/>
      <c r="D748" s="174"/>
      <c r="E748" s="54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</row>
    <row r="749" spans="1:19" x14ac:dyDescent="0.25">
      <c r="A749" s="55"/>
      <c r="B749" s="55"/>
      <c r="C749" s="55"/>
      <c r="D749" s="174"/>
      <c r="E749" s="54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</row>
    <row r="750" spans="1:19" x14ac:dyDescent="0.25">
      <c r="A750" s="55"/>
      <c r="B750" s="55"/>
      <c r="C750" s="55"/>
      <c r="D750" s="174"/>
      <c r="E750" s="54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</row>
    <row r="751" spans="1:19" x14ac:dyDescent="0.25">
      <c r="A751" s="55"/>
      <c r="B751" s="55"/>
      <c r="C751" s="55"/>
      <c r="D751" s="174"/>
      <c r="E751" s="54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</row>
    <row r="752" spans="1:19" x14ac:dyDescent="0.25">
      <c r="A752" s="55"/>
      <c r="B752" s="55"/>
      <c r="C752" s="55"/>
      <c r="D752" s="174"/>
      <c r="E752" s="54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</row>
    <row r="753" spans="1:19" x14ac:dyDescent="0.25">
      <c r="A753" s="55"/>
      <c r="B753" s="55"/>
      <c r="C753" s="55"/>
      <c r="D753" s="174"/>
      <c r="E753" s="54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</row>
    <row r="754" spans="1:19" x14ac:dyDescent="0.25">
      <c r="A754" s="55"/>
      <c r="B754" s="55"/>
      <c r="C754" s="55"/>
      <c r="D754" s="174"/>
      <c r="E754" s="54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</row>
    <row r="755" spans="1:19" x14ac:dyDescent="0.25">
      <c r="A755" s="55"/>
      <c r="B755" s="55"/>
      <c r="C755" s="55"/>
      <c r="D755" s="174"/>
      <c r="E755" s="54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</row>
    <row r="756" spans="1:19" x14ac:dyDescent="0.25">
      <c r="A756" s="55"/>
      <c r="B756" s="55"/>
      <c r="C756" s="55"/>
      <c r="D756" s="174"/>
      <c r="E756" s="54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</row>
    <row r="757" spans="1:19" x14ac:dyDescent="0.25">
      <c r="A757" s="55"/>
      <c r="B757" s="55"/>
      <c r="C757" s="55"/>
      <c r="D757" s="174"/>
      <c r="E757" s="54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</row>
    <row r="758" spans="1:19" x14ac:dyDescent="0.25">
      <c r="A758" s="55"/>
      <c r="B758" s="55"/>
      <c r="C758" s="55"/>
      <c r="D758" s="174"/>
      <c r="E758" s="54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</row>
    <row r="759" spans="1:19" x14ac:dyDescent="0.25">
      <c r="A759" s="55"/>
      <c r="B759" s="55"/>
      <c r="C759" s="55"/>
      <c r="D759" s="174"/>
      <c r="E759" s="54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</row>
    <row r="760" spans="1:19" x14ac:dyDescent="0.25">
      <c r="A760" s="55"/>
      <c r="B760" s="55"/>
      <c r="C760" s="55"/>
      <c r="D760" s="174"/>
      <c r="E760" s="54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</row>
    <row r="761" spans="1:19" x14ac:dyDescent="0.25">
      <c r="A761" s="55"/>
      <c r="B761" s="55"/>
      <c r="C761" s="55"/>
      <c r="D761" s="174"/>
      <c r="E761" s="54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</row>
    <row r="762" spans="1:19" x14ac:dyDescent="0.25">
      <c r="A762" s="55"/>
      <c r="B762" s="55"/>
      <c r="C762" s="55"/>
      <c r="D762" s="174"/>
      <c r="E762" s="54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</row>
    <row r="763" spans="1:19" x14ac:dyDescent="0.25">
      <c r="A763" s="55"/>
      <c r="B763" s="55"/>
      <c r="C763" s="55"/>
      <c r="D763" s="174"/>
      <c r="E763" s="54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</row>
    <row r="764" spans="1:19" x14ac:dyDescent="0.25">
      <c r="A764" s="55"/>
      <c r="B764" s="55"/>
      <c r="C764" s="55"/>
      <c r="D764" s="174"/>
      <c r="E764" s="54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</row>
    <row r="765" spans="1:19" x14ac:dyDescent="0.25">
      <c r="A765" s="55"/>
      <c r="B765" s="55"/>
      <c r="C765" s="55"/>
      <c r="D765" s="174"/>
      <c r="E765" s="54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</row>
    <row r="766" spans="1:19" x14ac:dyDescent="0.25">
      <c r="A766" s="55"/>
      <c r="B766" s="55"/>
      <c r="C766" s="55"/>
      <c r="D766" s="174"/>
      <c r="E766" s="54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</row>
    <row r="767" spans="1:19" x14ac:dyDescent="0.25">
      <c r="A767" s="55"/>
      <c r="B767" s="55"/>
      <c r="C767" s="55"/>
      <c r="D767" s="174"/>
      <c r="E767" s="54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</row>
    <row r="768" spans="1:19" x14ac:dyDescent="0.25">
      <c r="A768" s="55"/>
      <c r="B768" s="55"/>
      <c r="C768" s="55"/>
      <c r="D768" s="174"/>
      <c r="E768" s="54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</row>
    <row r="769" spans="1:19" x14ac:dyDescent="0.25">
      <c r="A769" s="55"/>
      <c r="B769" s="55"/>
      <c r="C769" s="55"/>
      <c r="D769" s="174"/>
      <c r="E769" s="54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</row>
    <row r="770" spans="1:19" x14ac:dyDescent="0.25">
      <c r="A770" s="55"/>
      <c r="B770" s="55"/>
      <c r="C770" s="55"/>
      <c r="D770" s="174"/>
      <c r="E770" s="54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</row>
    <row r="771" spans="1:19" x14ac:dyDescent="0.25">
      <c r="A771" s="55"/>
      <c r="B771" s="55"/>
      <c r="C771" s="55"/>
      <c r="D771" s="174"/>
      <c r="E771" s="54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</row>
    <row r="772" spans="1:19" x14ac:dyDescent="0.25">
      <c r="A772" s="55"/>
      <c r="B772" s="55"/>
      <c r="C772" s="55"/>
      <c r="D772" s="174"/>
      <c r="E772" s="54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</row>
    <row r="773" spans="1:19" x14ac:dyDescent="0.25">
      <c r="A773" s="55"/>
      <c r="B773" s="55"/>
      <c r="C773" s="55"/>
      <c r="D773" s="174"/>
      <c r="E773" s="54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</row>
    <row r="774" spans="1:19" x14ac:dyDescent="0.25">
      <c r="A774" s="55"/>
      <c r="B774" s="55"/>
      <c r="C774" s="55"/>
      <c r="D774" s="174"/>
      <c r="E774" s="54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</row>
    <row r="775" spans="1:19" x14ac:dyDescent="0.25">
      <c r="A775" s="55"/>
      <c r="B775" s="55"/>
      <c r="C775" s="55"/>
      <c r="D775" s="174"/>
      <c r="E775" s="54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</row>
    <row r="776" spans="1:19" x14ac:dyDescent="0.25">
      <c r="A776" s="55"/>
      <c r="B776" s="55"/>
      <c r="C776" s="55"/>
      <c r="D776" s="174"/>
      <c r="E776" s="54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</row>
    <row r="777" spans="1:19" x14ac:dyDescent="0.25">
      <c r="A777" s="55"/>
      <c r="B777" s="55"/>
      <c r="C777" s="55"/>
      <c r="D777" s="174"/>
      <c r="E777" s="54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</row>
    <row r="778" spans="1:19" x14ac:dyDescent="0.25">
      <c r="A778" s="55"/>
      <c r="B778" s="55"/>
      <c r="C778" s="55"/>
      <c r="D778" s="174"/>
      <c r="E778" s="54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</row>
    <row r="779" spans="1:19" x14ac:dyDescent="0.25">
      <c r="A779" s="55"/>
      <c r="B779" s="55"/>
      <c r="C779" s="55"/>
      <c r="D779" s="174"/>
      <c r="E779" s="54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</row>
    <row r="780" spans="1:19" x14ac:dyDescent="0.25">
      <c r="A780" s="55"/>
      <c r="B780" s="55"/>
      <c r="C780" s="55"/>
      <c r="D780" s="174"/>
      <c r="E780" s="54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</row>
    <row r="781" spans="1:19" x14ac:dyDescent="0.25">
      <c r="A781" s="55"/>
      <c r="B781" s="55"/>
      <c r="C781" s="55"/>
      <c r="D781" s="174"/>
      <c r="E781" s="54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</row>
    <row r="782" spans="1:19" x14ac:dyDescent="0.25">
      <c r="A782" s="55"/>
      <c r="B782" s="55"/>
      <c r="C782" s="55"/>
      <c r="D782" s="174"/>
      <c r="E782" s="54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</row>
    <row r="783" spans="1:19" x14ac:dyDescent="0.25">
      <c r="A783" s="55"/>
      <c r="B783" s="55"/>
      <c r="C783" s="55"/>
      <c r="D783" s="174"/>
      <c r="E783" s="54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</row>
    <row r="784" spans="1:19" x14ac:dyDescent="0.25">
      <c r="A784" s="55"/>
      <c r="B784" s="55"/>
      <c r="C784" s="55"/>
      <c r="D784" s="174"/>
      <c r="E784" s="54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</row>
    <row r="785" spans="1:19" x14ac:dyDescent="0.25">
      <c r="A785" s="55"/>
      <c r="B785" s="55"/>
      <c r="C785" s="55"/>
      <c r="D785" s="174"/>
      <c r="E785" s="54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</row>
    <row r="786" spans="1:19" x14ac:dyDescent="0.25">
      <c r="A786" s="55"/>
      <c r="B786" s="55"/>
      <c r="C786" s="55"/>
      <c r="D786" s="174"/>
      <c r="E786" s="54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</row>
    <row r="787" spans="1:19" x14ac:dyDescent="0.25">
      <c r="A787" s="55"/>
      <c r="B787" s="55"/>
      <c r="C787" s="55"/>
      <c r="D787" s="174"/>
      <c r="E787" s="54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</row>
    <row r="788" spans="1:19" x14ac:dyDescent="0.25">
      <c r="A788" s="55"/>
      <c r="B788" s="55"/>
      <c r="C788" s="55"/>
      <c r="D788" s="174"/>
      <c r="E788" s="54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</row>
    <row r="789" spans="1:19" x14ac:dyDescent="0.25">
      <c r="A789" s="55"/>
      <c r="B789" s="55"/>
      <c r="C789" s="55"/>
      <c r="D789" s="174"/>
      <c r="E789" s="54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</row>
    <row r="790" spans="1:19" x14ac:dyDescent="0.25">
      <c r="A790" s="55"/>
      <c r="B790" s="55"/>
      <c r="C790" s="55"/>
      <c r="D790" s="174"/>
      <c r="E790" s="54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</row>
    <row r="791" spans="1:19" x14ac:dyDescent="0.25">
      <c r="A791" s="55"/>
      <c r="B791" s="55"/>
      <c r="C791" s="55"/>
      <c r="D791" s="174"/>
      <c r="E791" s="54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</row>
    <row r="792" spans="1:19" x14ac:dyDescent="0.25">
      <c r="A792" s="55"/>
      <c r="B792" s="55"/>
      <c r="C792" s="55"/>
      <c r="D792" s="174"/>
      <c r="E792" s="54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</row>
    <row r="793" spans="1:19" x14ac:dyDescent="0.25">
      <c r="A793" s="55"/>
      <c r="B793" s="55"/>
      <c r="C793" s="55"/>
      <c r="D793" s="174"/>
      <c r="E793" s="54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</row>
    <row r="794" spans="1:19" x14ac:dyDescent="0.25">
      <c r="A794" s="55"/>
      <c r="B794" s="55"/>
      <c r="C794" s="55"/>
      <c r="D794" s="174"/>
      <c r="E794" s="54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</row>
    <row r="795" spans="1:19" x14ac:dyDescent="0.25">
      <c r="A795" s="55"/>
      <c r="B795" s="55"/>
      <c r="C795" s="55"/>
      <c r="D795" s="174"/>
      <c r="E795" s="54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</row>
    <row r="796" spans="1:19" x14ac:dyDescent="0.25">
      <c r="A796" s="55"/>
      <c r="B796" s="55"/>
      <c r="C796" s="55"/>
      <c r="D796" s="174"/>
      <c r="E796" s="54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</row>
    <row r="797" spans="1:19" x14ac:dyDescent="0.25">
      <c r="A797" s="55"/>
      <c r="B797" s="55"/>
      <c r="C797" s="55"/>
      <c r="D797" s="174"/>
      <c r="E797" s="54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</row>
    <row r="798" spans="1:19" x14ac:dyDescent="0.25">
      <c r="A798" s="55"/>
      <c r="B798" s="55"/>
      <c r="C798" s="55"/>
      <c r="D798" s="174"/>
      <c r="E798" s="54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</row>
    <row r="799" spans="1:19" x14ac:dyDescent="0.25">
      <c r="A799" s="55"/>
      <c r="B799" s="55"/>
      <c r="C799" s="55"/>
      <c r="D799" s="174"/>
      <c r="E799" s="54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</row>
    <row r="800" spans="1:19" x14ac:dyDescent="0.25">
      <c r="A800" s="55"/>
      <c r="B800" s="55"/>
      <c r="C800" s="55"/>
      <c r="D800" s="174"/>
      <c r="E800" s="54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</row>
    <row r="801" spans="1:19" x14ac:dyDescent="0.25">
      <c r="A801" s="55"/>
      <c r="B801" s="55"/>
      <c r="C801" s="55"/>
      <c r="D801" s="174"/>
      <c r="E801" s="54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</row>
    <row r="802" spans="1:19" x14ac:dyDescent="0.25">
      <c r="A802" s="55"/>
      <c r="B802" s="55"/>
      <c r="C802" s="55"/>
      <c r="D802" s="174"/>
      <c r="E802" s="54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</row>
    <row r="803" spans="1:19" x14ac:dyDescent="0.25">
      <c r="A803" s="55"/>
      <c r="B803" s="55"/>
      <c r="C803" s="55"/>
      <c r="D803" s="174"/>
      <c r="E803" s="54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</row>
    <row r="804" spans="1:19" x14ac:dyDescent="0.25">
      <c r="A804" s="55"/>
      <c r="B804" s="55"/>
      <c r="C804" s="55"/>
      <c r="D804" s="174"/>
      <c r="E804" s="54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</row>
    <row r="805" spans="1:19" x14ac:dyDescent="0.25">
      <c r="A805" s="55"/>
      <c r="B805" s="55"/>
      <c r="C805" s="55"/>
      <c r="D805" s="174"/>
      <c r="E805" s="54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</row>
    <row r="806" spans="1:19" x14ac:dyDescent="0.25">
      <c r="A806" s="55"/>
      <c r="B806" s="55"/>
      <c r="C806" s="55"/>
      <c r="D806" s="174"/>
      <c r="E806" s="54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</row>
    <row r="807" spans="1:19" x14ac:dyDescent="0.25">
      <c r="A807" s="55"/>
      <c r="B807" s="55"/>
      <c r="C807" s="55"/>
      <c r="D807" s="174"/>
      <c r="E807" s="54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</row>
    <row r="808" spans="1:19" x14ac:dyDescent="0.25">
      <c r="A808" s="55"/>
      <c r="B808" s="55"/>
      <c r="C808" s="55"/>
      <c r="D808" s="174"/>
      <c r="E808" s="54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</row>
    <row r="809" spans="1:19" x14ac:dyDescent="0.25">
      <c r="A809" s="55"/>
      <c r="B809" s="55"/>
      <c r="C809" s="55"/>
      <c r="D809" s="174"/>
      <c r="E809" s="54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</row>
    <row r="810" spans="1:19" x14ac:dyDescent="0.25">
      <c r="A810" s="55"/>
      <c r="B810" s="55"/>
      <c r="C810" s="55"/>
      <c r="D810" s="174"/>
      <c r="E810" s="54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</row>
    <row r="811" spans="1:19" x14ac:dyDescent="0.25">
      <c r="A811" s="55"/>
      <c r="B811" s="55"/>
      <c r="C811" s="55"/>
      <c r="D811" s="174"/>
      <c r="E811" s="54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</row>
    <row r="812" spans="1:19" x14ac:dyDescent="0.25">
      <c r="A812" s="55"/>
      <c r="B812" s="55"/>
      <c r="C812" s="55"/>
      <c r="D812" s="174"/>
      <c r="E812" s="54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</row>
    <row r="813" spans="1:19" x14ac:dyDescent="0.25">
      <c r="A813" s="55"/>
      <c r="B813" s="55"/>
      <c r="C813" s="55"/>
      <c r="D813" s="174"/>
      <c r="E813" s="54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</row>
    <row r="814" spans="1:19" x14ac:dyDescent="0.25">
      <c r="A814" s="55"/>
      <c r="B814" s="55"/>
      <c r="C814" s="55"/>
      <c r="D814" s="174"/>
      <c r="E814" s="54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</row>
    <row r="815" spans="1:19" x14ac:dyDescent="0.25">
      <c r="A815" s="55"/>
      <c r="B815" s="55"/>
      <c r="C815" s="55"/>
      <c r="D815" s="174"/>
      <c r="E815" s="54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</row>
    <row r="816" spans="1:19" x14ac:dyDescent="0.25">
      <c r="A816" s="55"/>
      <c r="B816" s="55"/>
      <c r="C816" s="55"/>
      <c r="D816" s="174"/>
      <c r="E816" s="54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</row>
    <row r="817" spans="1:19" x14ac:dyDescent="0.25">
      <c r="A817" s="55"/>
      <c r="B817" s="55"/>
      <c r="C817" s="55"/>
      <c r="D817" s="174"/>
      <c r="E817" s="54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</row>
    <row r="818" spans="1:19" x14ac:dyDescent="0.25">
      <c r="A818" s="55"/>
      <c r="B818" s="55"/>
      <c r="C818" s="55"/>
      <c r="D818" s="174"/>
      <c r="E818" s="54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</row>
    <row r="819" spans="1:19" x14ac:dyDescent="0.25">
      <c r="A819" s="55"/>
      <c r="B819" s="55"/>
      <c r="C819" s="55"/>
      <c r="D819" s="174"/>
      <c r="E819" s="54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</row>
    <row r="820" spans="1:19" x14ac:dyDescent="0.25">
      <c r="A820" s="55"/>
      <c r="B820" s="55"/>
      <c r="C820" s="55"/>
      <c r="D820" s="174"/>
      <c r="E820" s="54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</row>
    <row r="821" spans="1:19" x14ac:dyDescent="0.25">
      <c r="A821" s="55"/>
      <c r="B821" s="55"/>
      <c r="C821" s="55"/>
      <c r="D821" s="174"/>
      <c r="E821" s="54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</row>
    <row r="822" spans="1:19" x14ac:dyDescent="0.25">
      <c r="A822" s="55"/>
      <c r="B822" s="55"/>
      <c r="C822" s="55"/>
      <c r="D822" s="174"/>
      <c r="E822" s="54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</row>
    <row r="823" spans="1:19" x14ac:dyDescent="0.25">
      <c r="A823" s="55"/>
      <c r="B823" s="55"/>
      <c r="C823" s="55"/>
      <c r="D823" s="174"/>
      <c r="E823" s="54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</row>
    <row r="824" spans="1:19" x14ac:dyDescent="0.25">
      <c r="A824" s="55"/>
      <c r="B824" s="55"/>
      <c r="C824" s="55"/>
      <c r="D824" s="174"/>
      <c r="E824" s="54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</row>
    <row r="825" spans="1:19" x14ac:dyDescent="0.25">
      <c r="A825" s="55"/>
      <c r="B825" s="55"/>
      <c r="C825" s="55"/>
      <c r="D825" s="174"/>
      <c r="E825" s="54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</row>
    <row r="826" spans="1:19" x14ac:dyDescent="0.25">
      <c r="A826" s="55"/>
      <c r="B826" s="55"/>
      <c r="C826" s="55"/>
      <c r="D826" s="174"/>
      <c r="E826" s="54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</row>
    <row r="827" spans="1:19" x14ac:dyDescent="0.25">
      <c r="A827" s="55"/>
      <c r="B827" s="55"/>
      <c r="C827" s="55"/>
      <c r="D827" s="174"/>
      <c r="E827" s="54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</row>
    <row r="828" spans="1:19" x14ac:dyDescent="0.25">
      <c r="A828" s="55"/>
      <c r="B828" s="55"/>
      <c r="C828" s="55"/>
      <c r="D828" s="174"/>
      <c r="E828" s="54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</row>
    <row r="829" spans="1:19" x14ac:dyDescent="0.25">
      <c r="A829" s="55"/>
      <c r="B829" s="55"/>
      <c r="C829" s="55"/>
      <c r="D829" s="174"/>
      <c r="E829" s="54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</row>
    <row r="830" spans="1:19" x14ac:dyDescent="0.25">
      <c r="A830" s="55"/>
      <c r="B830" s="55"/>
      <c r="C830" s="55"/>
      <c r="D830" s="174"/>
      <c r="E830" s="54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</row>
    <row r="831" spans="1:19" x14ac:dyDescent="0.25">
      <c r="A831" s="55"/>
      <c r="B831" s="55"/>
      <c r="C831" s="55"/>
      <c r="D831" s="174"/>
      <c r="E831" s="54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</row>
    <row r="832" spans="1:19" x14ac:dyDescent="0.25">
      <c r="A832" s="55"/>
      <c r="B832" s="55"/>
      <c r="C832" s="55"/>
      <c r="D832" s="174"/>
      <c r="E832" s="54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</row>
    <row r="833" spans="1:19" x14ac:dyDescent="0.25">
      <c r="A833" s="55"/>
      <c r="B833" s="55"/>
      <c r="C833" s="55"/>
      <c r="D833" s="174"/>
      <c r="E833" s="54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</row>
    <row r="834" spans="1:19" x14ac:dyDescent="0.25">
      <c r="A834" s="55"/>
      <c r="B834" s="55"/>
      <c r="C834" s="55"/>
      <c r="D834" s="174"/>
      <c r="E834" s="54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</row>
    <row r="835" spans="1:19" x14ac:dyDescent="0.25">
      <c r="A835" s="55"/>
      <c r="B835" s="55"/>
      <c r="C835" s="55"/>
      <c r="D835" s="174"/>
      <c r="E835" s="54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</row>
    <row r="836" spans="1:19" x14ac:dyDescent="0.25">
      <c r="A836" s="55"/>
      <c r="B836" s="55"/>
      <c r="C836" s="55"/>
      <c r="D836" s="174"/>
      <c r="E836" s="54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</row>
    <row r="837" spans="1:19" x14ac:dyDescent="0.25">
      <c r="A837" s="55"/>
      <c r="B837" s="55"/>
      <c r="C837" s="55"/>
      <c r="D837" s="174"/>
      <c r="E837" s="54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</row>
    <row r="838" spans="1:19" x14ac:dyDescent="0.25">
      <c r="A838" s="55"/>
      <c r="B838" s="55"/>
      <c r="C838" s="55"/>
      <c r="D838" s="174"/>
      <c r="E838" s="54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</row>
    <row r="839" spans="1:19" x14ac:dyDescent="0.25">
      <c r="A839" s="55"/>
      <c r="B839" s="55"/>
      <c r="C839" s="55"/>
      <c r="D839" s="174"/>
      <c r="E839" s="54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</row>
    <row r="840" spans="1:19" x14ac:dyDescent="0.25">
      <c r="A840" s="55"/>
      <c r="B840" s="55"/>
      <c r="C840" s="55"/>
      <c r="D840" s="174"/>
      <c r="E840" s="54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</row>
    <row r="841" spans="1:19" x14ac:dyDescent="0.25">
      <c r="A841" s="55"/>
      <c r="B841" s="55"/>
      <c r="C841" s="55"/>
      <c r="D841" s="174"/>
      <c r="E841" s="54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</row>
    <row r="842" spans="1:19" x14ac:dyDescent="0.25">
      <c r="A842" s="55"/>
      <c r="B842" s="55"/>
      <c r="C842" s="55"/>
      <c r="D842" s="174"/>
      <c r="E842" s="54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</row>
    <row r="843" spans="1:19" x14ac:dyDescent="0.25">
      <c r="A843" s="55"/>
      <c r="B843" s="55"/>
      <c r="C843" s="55"/>
      <c r="D843" s="174"/>
      <c r="E843" s="54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</row>
    <row r="844" spans="1:19" x14ac:dyDescent="0.25">
      <c r="A844" s="55"/>
      <c r="B844" s="55"/>
      <c r="C844" s="55"/>
      <c r="D844" s="174"/>
      <c r="E844" s="54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</row>
    <row r="845" spans="1:19" x14ac:dyDescent="0.25">
      <c r="A845" s="55"/>
      <c r="B845" s="55"/>
      <c r="C845" s="55"/>
      <c r="D845" s="174"/>
      <c r="E845" s="54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</row>
    <row r="846" spans="1:19" x14ac:dyDescent="0.25">
      <c r="A846" s="55"/>
      <c r="B846" s="55"/>
      <c r="C846" s="55"/>
      <c r="D846" s="174"/>
      <c r="E846" s="54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</row>
    <row r="847" spans="1:19" x14ac:dyDescent="0.25">
      <c r="A847" s="55"/>
      <c r="B847" s="55"/>
      <c r="C847" s="55"/>
      <c r="D847" s="174"/>
      <c r="E847" s="54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</row>
    <row r="848" spans="1:19" x14ac:dyDescent="0.25">
      <c r="A848" s="55"/>
      <c r="B848" s="55"/>
      <c r="C848" s="55"/>
      <c r="D848" s="174"/>
      <c r="E848" s="54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</row>
    <row r="849" spans="1:19" x14ac:dyDescent="0.25">
      <c r="A849" s="55"/>
      <c r="B849" s="55"/>
      <c r="C849" s="55"/>
      <c r="D849" s="174"/>
      <c r="E849" s="54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</row>
    <row r="850" spans="1:19" x14ac:dyDescent="0.25">
      <c r="A850" s="55"/>
      <c r="B850" s="55"/>
      <c r="C850" s="55"/>
      <c r="D850" s="174"/>
      <c r="E850" s="54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</row>
    <row r="851" spans="1:19" x14ac:dyDescent="0.25">
      <c r="A851" s="55"/>
      <c r="B851" s="55"/>
      <c r="C851" s="55"/>
      <c r="D851" s="174"/>
      <c r="E851" s="54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</row>
    <row r="852" spans="1:19" x14ac:dyDescent="0.25">
      <c r="A852" s="55"/>
      <c r="B852" s="55"/>
      <c r="C852" s="55"/>
      <c r="D852" s="174"/>
      <c r="E852" s="54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</row>
    <row r="853" spans="1:19" x14ac:dyDescent="0.25">
      <c r="A853" s="55"/>
      <c r="B853" s="55"/>
      <c r="C853" s="55"/>
      <c r="D853" s="174"/>
      <c r="E853" s="54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</row>
    <row r="854" spans="1:19" x14ac:dyDescent="0.25">
      <c r="A854" s="55"/>
      <c r="B854" s="55"/>
      <c r="C854" s="55"/>
      <c r="D854" s="174"/>
      <c r="E854" s="54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</row>
    <row r="855" spans="1:19" x14ac:dyDescent="0.25">
      <c r="A855" s="55"/>
      <c r="B855" s="55"/>
      <c r="C855" s="55"/>
      <c r="D855" s="174"/>
      <c r="E855" s="54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</row>
    <row r="856" spans="1:19" x14ac:dyDescent="0.25">
      <c r="A856" s="55"/>
      <c r="B856" s="55"/>
      <c r="C856" s="55"/>
      <c r="D856" s="174"/>
      <c r="E856" s="54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</row>
    <row r="857" spans="1:19" x14ac:dyDescent="0.25">
      <c r="A857" s="55"/>
      <c r="B857" s="55"/>
      <c r="C857" s="55"/>
      <c r="D857" s="174"/>
      <c r="E857" s="54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</row>
    <row r="858" spans="1:19" x14ac:dyDescent="0.25">
      <c r="A858" s="55"/>
      <c r="B858" s="55"/>
      <c r="C858" s="55"/>
      <c r="D858" s="174"/>
      <c r="E858" s="54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</row>
    <row r="859" spans="1:19" x14ac:dyDescent="0.25">
      <c r="A859" s="55"/>
      <c r="B859" s="55"/>
      <c r="C859" s="55"/>
      <c r="D859" s="174"/>
      <c r="E859" s="54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</row>
    <row r="860" spans="1:19" x14ac:dyDescent="0.25">
      <c r="A860" s="55"/>
      <c r="B860" s="55"/>
      <c r="C860" s="55"/>
      <c r="D860" s="174"/>
      <c r="E860" s="54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</row>
    <row r="861" spans="1:19" x14ac:dyDescent="0.25">
      <c r="A861" s="55"/>
      <c r="B861" s="55"/>
      <c r="C861" s="55"/>
      <c r="D861" s="174"/>
      <c r="E861" s="54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</row>
    <row r="862" spans="1:19" x14ac:dyDescent="0.25">
      <c r="A862" s="55"/>
      <c r="B862" s="55"/>
      <c r="C862" s="55"/>
      <c r="D862" s="174"/>
      <c r="E862" s="54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</row>
    <row r="863" spans="1:19" x14ac:dyDescent="0.25">
      <c r="A863" s="55"/>
      <c r="B863" s="55"/>
      <c r="C863" s="55"/>
      <c r="D863" s="174"/>
      <c r="E863" s="54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</row>
    <row r="864" spans="1:19" x14ac:dyDescent="0.25">
      <c r="A864" s="55"/>
      <c r="B864" s="55"/>
      <c r="C864" s="55"/>
      <c r="D864" s="174"/>
      <c r="E864" s="54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</row>
    <row r="865" spans="1:19" x14ac:dyDescent="0.25">
      <c r="A865" s="55"/>
      <c r="B865" s="55"/>
      <c r="C865" s="55"/>
      <c r="D865" s="174"/>
      <c r="E865" s="54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</row>
    <row r="866" spans="1:19" x14ac:dyDescent="0.25">
      <c r="A866" s="55"/>
      <c r="B866" s="55"/>
      <c r="C866" s="55"/>
      <c r="D866" s="174"/>
      <c r="E866" s="54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</row>
    <row r="867" spans="1:19" x14ac:dyDescent="0.25">
      <c r="A867" s="55"/>
      <c r="B867" s="55"/>
      <c r="C867" s="55"/>
      <c r="D867" s="174"/>
      <c r="E867" s="54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</row>
    <row r="868" spans="1:19" x14ac:dyDescent="0.25">
      <c r="A868" s="55"/>
      <c r="B868" s="55"/>
      <c r="C868" s="55"/>
      <c r="D868" s="174"/>
      <c r="E868" s="54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</row>
    <row r="869" spans="1:19" x14ac:dyDescent="0.25">
      <c r="A869" s="55"/>
      <c r="B869" s="55"/>
      <c r="C869" s="55"/>
      <c r="D869" s="174"/>
      <c r="E869" s="54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</row>
    <row r="870" spans="1:19" x14ac:dyDescent="0.25">
      <c r="A870" s="55"/>
      <c r="B870" s="55"/>
      <c r="C870" s="55"/>
      <c r="D870" s="174"/>
      <c r="E870" s="54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</row>
    <row r="871" spans="1:19" x14ac:dyDescent="0.25">
      <c r="A871" s="55"/>
      <c r="B871" s="55"/>
      <c r="C871" s="55"/>
      <c r="D871" s="174"/>
      <c r="E871" s="54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</row>
    <row r="872" spans="1:19" x14ac:dyDescent="0.25">
      <c r="A872" s="55"/>
      <c r="B872" s="55"/>
      <c r="C872" s="55"/>
      <c r="D872" s="174"/>
      <c r="E872" s="54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</row>
    <row r="873" spans="1:19" x14ac:dyDescent="0.25">
      <c r="A873" s="55"/>
      <c r="B873" s="55"/>
      <c r="C873" s="55"/>
      <c r="D873" s="174"/>
      <c r="E873" s="54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</row>
    <row r="874" spans="1:19" x14ac:dyDescent="0.25">
      <c r="A874" s="55"/>
      <c r="B874" s="55"/>
      <c r="C874" s="55"/>
      <c r="D874" s="174"/>
      <c r="E874" s="54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</row>
    <row r="875" spans="1:19" x14ac:dyDescent="0.25">
      <c r="A875" s="55"/>
      <c r="B875" s="55"/>
      <c r="C875" s="55"/>
      <c r="D875" s="174"/>
      <c r="E875" s="54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</row>
    <row r="876" spans="1:19" x14ac:dyDescent="0.25">
      <c r="A876" s="55"/>
      <c r="B876" s="55"/>
      <c r="C876" s="55"/>
      <c r="D876" s="174"/>
      <c r="E876" s="54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</row>
    <row r="877" spans="1:19" x14ac:dyDescent="0.25">
      <c r="A877" s="55"/>
      <c r="B877" s="55"/>
      <c r="C877" s="55"/>
      <c r="D877" s="174"/>
      <c r="E877" s="54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</row>
    <row r="878" spans="1:19" x14ac:dyDescent="0.25">
      <c r="A878" s="55"/>
      <c r="B878" s="55"/>
      <c r="C878" s="55"/>
      <c r="D878" s="174"/>
      <c r="E878" s="54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</row>
    <row r="879" spans="1:19" x14ac:dyDescent="0.25">
      <c r="A879" s="55"/>
      <c r="B879" s="55"/>
      <c r="C879" s="55"/>
      <c r="D879" s="174"/>
      <c r="E879" s="54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</row>
    <row r="880" spans="1:19" x14ac:dyDescent="0.25">
      <c r="A880" s="55"/>
      <c r="B880" s="55"/>
      <c r="C880" s="55"/>
      <c r="D880" s="174"/>
      <c r="E880" s="54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</row>
    <row r="881" spans="1:19" x14ac:dyDescent="0.25">
      <c r="A881" s="55"/>
      <c r="B881" s="55"/>
      <c r="C881" s="55"/>
      <c r="D881" s="174"/>
      <c r="E881" s="54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</row>
    <row r="882" spans="1:19" x14ac:dyDescent="0.25">
      <c r="A882" s="55"/>
      <c r="B882" s="55"/>
      <c r="C882" s="55"/>
      <c r="D882" s="174"/>
      <c r="E882" s="54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</row>
    <row r="883" spans="1:19" x14ac:dyDescent="0.25">
      <c r="A883" s="55"/>
      <c r="B883" s="55"/>
      <c r="C883" s="55"/>
      <c r="D883" s="174"/>
      <c r="E883" s="54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</row>
    <row r="884" spans="1:19" x14ac:dyDescent="0.25">
      <c r="A884" s="55"/>
      <c r="B884" s="55"/>
      <c r="C884" s="55"/>
      <c r="D884" s="174"/>
      <c r="E884" s="54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</row>
    <row r="885" spans="1:19" x14ac:dyDescent="0.25">
      <c r="A885" s="55"/>
      <c r="B885" s="55"/>
      <c r="C885" s="55"/>
      <c r="D885" s="174"/>
      <c r="E885" s="54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</row>
    <row r="886" spans="1:19" x14ac:dyDescent="0.25">
      <c r="A886" s="55"/>
      <c r="B886" s="55"/>
      <c r="C886" s="55"/>
      <c r="D886" s="174"/>
      <c r="E886" s="54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</row>
    <row r="887" spans="1:19" x14ac:dyDescent="0.25">
      <c r="A887" s="55"/>
      <c r="B887" s="55"/>
      <c r="C887" s="55"/>
      <c r="D887" s="174"/>
      <c r="E887" s="54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</row>
    <row r="888" spans="1:19" x14ac:dyDescent="0.25">
      <c r="A888" s="55"/>
      <c r="B888" s="55"/>
      <c r="C888" s="55"/>
      <c r="D888" s="174"/>
      <c r="E888" s="54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</row>
    <row r="889" spans="1:19" x14ac:dyDescent="0.25">
      <c r="A889" s="55"/>
      <c r="B889" s="55"/>
      <c r="C889" s="55"/>
      <c r="D889" s="174"/>
      <c r="E889" s="54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</row>
    <row r="890" spans="1:19" x14ac:dyDescent="0.25">
      <c r="A890" s="55"/>
      <c r="B890" s="55"/>
      <c r="C890" s="55"/>
      <c r="D890" s="174"/>
      <c r="E890" s="54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</row>
    <row r="891" spans="1:19" x14ac:dyDescent="0.25">
      <c r="A891" s="55"/>
      <c r="B891" s="55"/>
      <c r="C891" s="55"/>
      <c r="D891" s="174"/>
      <c r="E891" s="54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</row>
    <row r="892" spans="1:19" x14ac:dyDescent="0.25">
      <c r="A892" s="55"/>
      <c r="B892" s="55"/>
      <c r="C892" s="55"/>
      <c r="D892" s="174"/>
      <c r="E892" s="54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</row>
    <row r="893" spans="1:19" x14ac:dyDescent="0.25">
      <c r="A893" s="55"/>
      <c r="B893" s="55"/>
      <c r="C893" s="55"/>
      <c r="D893" s="174"/>
      <c r="E893" s="54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</row>
    <row r="894" spans="1:19" x14ac:dyDescent="0.25">
      <c r="A894" s="55"/>
      <c r="B894" s="55"/>
      <c r="C894" s="55"/>
      <c r="D894" s="174"/>
      <c r="E894" s="54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</row>
    <row r="895" spans="1:19" x14ac:dyDescent="0.25">
      <c r="A895" s="55"/>
      <c r="B895" s="55"/>
      <c r="C895" s="55"/>
      <c r="D895" s="174"/>
      <c r="E895" s="54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</row>
    <row r="896" spans="1:19" x14ac:dyDescent="0.25">
      <c r="A896" s="55"/>
      <c r="B896" s="55"/>
      <c r="C896" s="55"/>
      <c r="D896" s="174"/>
      <c r="E896" s="54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</row>
    <row r="897" spans="1:19" x14ac:dyDescent="0.25">
      <c r="A897" s="55"/>
      <c r="B897" s="55"/>
      <c r="C897" s="55"/>
      <c r="D897" s="174"/>
      <c r="E897" s="54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</row>
    <row r="898" spans="1:19" x14ac:dyDescent="0.25">
      <c r="A898" s="55"/>
      <c r="B898" s="55"/>
      <c r="C898" s="55"/>
      <c r="D898" s="174"/>
      <c r="E898" s="54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</row>
    <row r="899" spans="1:19" x14ac:dyDescent="0.25">
      <c r="A899" s="55"/>
      <c r="B899" s="55"/>
      <c r="C899" s="55"/>
      <c r="D899" s="174"/>
      <c r="E899" s="54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</row>
    <row r="900" spans="1:19" x14ac:dyDescent="0.25">
      <c r="A900" s="55"/>
      <c r="B900" s="55"/>
      <c r="C900" s="55"/>
      <c r="D900" s="174"/>
      <c r="E900" s="54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</row>
    <row r="901" spans="1:19" x14ac:dyDescent="0.25">
      <c r="A901" s="55"/>
      <c r="B901" s="55"/>
      <c r="C901" s="55"/>
      <c r="D901" s="174"/>
      <c r="E901" s="54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</row>
    <row r="902" spans="1:19" x14ac:dyDescent="0.25">
      <c r="A902" s="55"/>
      <c r="B902" s="55"/>
      <c r="C902" s="55"/>
      <c r="D902" s="174"/>
      <c r="E902" s="54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</row>
    <row r="903" spans="1:19" x14ac:dyDescent="0.25">
      <c r="A903" s="55"/>
      <c r="B903" s="55"/>
      <c r="C903" s="55"/>
      <c r="D903" s="174"/>
      <c r="E903" s="54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</row>
    <row r="904" spans="1:19" x14ac:dyDescent="0.25">
      <c r="A904" s="55"/>
      <c r="B904" s="55"/>
      <c r="C904" s="55"/>
      <c r="D904" s="174"/>
      <c r="E904" s="54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</row>
    <row r="905" spans="1:19" x14ac:dyDescent="0.25">
      <c r="A905" s="55"/>
      <c r="B905" s="55"/>
      <c r="C905" s="55"/>
      <c r="D905" s="174"/>
      <c r="E905" s="54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</row>
    <row r="906" spans="1:19" x14ac:dyDescent="0.25">
      <c r="A906" s="55"/>
      <c r="B906" s="55"/>
      <c r="C906" s="55"/>
      <c r="D906" s="174"/>
      <c r="E906" s="54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</row>
    <row r="907" spans="1:19" x14ac:dyDescent="0.25">
      <c r="A907" s="55"/>
      <c r="B907" s="55"/>
      <c r="C907" s="55"/>
      <c r="D907" s="174"/>
      <c r="E907" s="54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</row>
    <row r="908" spans="1:19" x14ac:dyDescent="0.25">
      <c r="A908" s="55"/>
      <c r="B908" s="55"/>
      <c r="C908" s="55"/>
      <c r="D908" s="174"/>
      <c r="E908" s="54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</row>
    <row r="909" spans="1:19" x14ac:dyDescent="0.25">
      <c r="A909" s="55"/>
      <c r="B909" s="55"/>
      <c r="C909" s="55"/>
      <c r="D909" s="174"/>
      <c r="E909" s="54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</row>
    <row r="910" spans="1:19" x14ac:dyDescent="0.25">
      <c r="A910" s="55"/>
      <c r="B910" s="55"/>
      <c r="C910" s="55"/>
      <c r="D910" s="174"/>
      <c r="E910" s="54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</row>
    <row r="911" spans="1:19" x14ac:dyDescent="0.25">
      <c r="A911" s="55"/>
      <c r="B911" s="55"/>
      <c r="C911" s="55"/>
      <c r="D911" s="174"/>
      <c r="E911" s="54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</row>
    <row r="912" spans="1:19" x14ac:dyDescent="0.25">
      <c r="A912" s="55"/>
      <c r="B912" s="55"/>
      <c r="C912" s="55"/>
      <c r="D912" s="174"/>
      <c r="E912" s="54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</row>
    <row r="913" spans="1:19" x14ac:dyDescent="0.25">
      <c r="A913" s="55"/>
      <c r="B913" s="55"/>
      <c r="C913" s="55"/>
      <c r="D913" s="174"/>
      <c r="E913" s="54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</row>
    <row r="914" spans="1:19" x14ac:dyDescent="0.25">
      <c r="A914" s="55"/>
      <c r="B914" s="55"/>
      <c r="C914" s="55"/>
      <c r="D914" s="174"/>
      <c r="E914" s="54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</row>
    <row r="915" spans="1:19" x14ac:dyDescent="0.25">
      <c r="A915" s="55"/>
      <c r="B915" s="55"/>
      <c r="C915" s="55"/>
      <c r="D915" s="174"/>
      <c r="E915" s="54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</row>
    <row r="916" spans="1:19" x14ac:dyDescent="0.25">
      <c r="A916" s="55"/>
      <c r="B916" s="55"/>
      <c r="C916" s="55"/>
      <c r="D916" s="174"/>
      <c r="E916" s="54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</row>
    <row r="917" spans="1:19" x14ac:dyDescent="0.25">
      <c r="A917" s="55"/>
      <c r="B917" s="55"/>
      <c r="C917" s="55"/>
      <c r="D917" s="174"/>
      <c r="E917" s="54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</row>
    <row r="918" spans="1:19" x14ac:dyDescent="0.25">
      <c r="A918" s="55"/>
      <c r="B918" s="55"/>
      <c r="C918" s="55"/>
      <c r="D918" s="174"/>
      <c r="E918" s="54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</row>
    <row r="919" spans="1:19" x14ac:dyDescent="0.25">
      <c r="A919" s="55"/>
      <c r="B919" s="55"/>
      <c r="C919" s="55"/>
      <c r="D919" s="174"/>
      <c r="E919" s="54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</row>
    <row r="920" spans="1:19" x14ac:dyDescent="0.25">
      <c r="A920" s="55"/>
      <c r="B920" s="55"/>
      <c r="C920" s="55"/>
      <c r="D920" s="174"/>
      <c r="E920" s="54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</row>
    <row r="921" spans="1:19" x14ac:dyDescent="0.25">
      <c r="A921" s="55"/>
      <c r="B921" s="55"/>
      <c r="C921" s="55"/>
      <c r="D921" s="174"/>
      <c r="E921" s="54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</row>
    <row r="922" spans="1:19" x14ac:dyDescent="0.25">
      <c r="A922" s="55"/>
      <c r="B922" s="55"/>
      <c r="C922" s="55"/>
      <c r="D922" s="174"/>
      <c r="E922" s="54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</row>
    <row r="923" spans="1:19" x14ac:dyDescent="0.25">
      <c r="A923" s="55"/>
      <c r="B923" s="55"/>
      <c r="C923" s="55"/>
      <c r="D923" s="174"/>
      <c r="E923" s="54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</row>
    <row r="924" spans="1:19" x14ac:dyDescent="0.25">
      <c r="A924" s="55"/>
      <c r="B924" s="55"/>
      <c r="C924" s="55"/>
      <c r="D924" s="174"/>
      <c r="E924" s="54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</row>
    <row r="925" spans="1:19" x14ac:dyDescent="0.25">
      <c r="A925" s="55"/>
      <c r="B925" s="55"/>
      <c r="C925" s="55"/>
      <c r="D925" s="174"/>
      <c r="E925" s="54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</row>
    <row r="926" spans="1:19" x14ac:dyDescent="0.25">
      <c r="A926" s="55"/>
      <c r="B926" s="55"/>
      <c r="C926" s="55"/>
      <c r="D926" s="174"/>
      <c r="E926" s="54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</row>
    <row r="927" spans="1:19" x14ac:dyDescent="0.25">
      <c r="A927" s="55"/>
      <c r="B927" s="55"/>
      <c r="C927" s="55"/>
      <c r="D927" s="174"/>
      <c r="E927" s="54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</row>
    <row r="928" spans="1:19" x14ac:dyDescent="0.25">
      <c r="A928" s="55"/>
      <c r="B928" s="55"/>
      <c r="C928" s="55"/>
      <c r="D928" s="174"/>
      <c r="E928" s="54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</row>
    <row r="929" spans="1:19" x14ac:dyDescent="0.25">
      <c r="A929" s="55"/>
      <c r="B929" s="55"/>
      <c r="C929" s="55"/>
      <c r="D929" s="174"/>
      <c r="E929" s="54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</row>
    <row r="930" spans="1:19" x14ac:dyDescent="0.25">
      <c r="A930" s="55"/>
      <c r="B930" s="55"/>
      <c r="C930" s="55"/>
      <c r="D930" s="174"/>
      <c r="E930" s="54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</row>
    <row r="931" spans="1:19" x14ac:dyDescent="0.25">
      <c r="A931" s="55"/>
      <c r="B931" s="55"/>
      <c r="C931" s="55"/>
      <c r="D931" s="174"/>
      <c r="E931" s="54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</row>
    <row r="932" spans="1:19" x14ac:dyDescent="0.25">
      <c r="A932" s="55"/>
      <c r="B932" s="55"/>
      <c r="C932" s="55"/>
      <c r="D932" s="174"/>
      <c r="E932" s="54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</row>
    <row r="933" spans="1:19" x14ac:dyDescent="0.25">
      <c r="A933" s="55"/>
      <c r="B933" s="55"/>
      <c r="C933" s="55"/>
      <c r="D933" s="174"/>
      <c r="E933" s="54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</row>
    <row r="934" spans="1:19" x14ac:dyDescent="0.25">
      <c r="A934" s="55"/>
      <c r="B934" s="55"/>
      <c r="C934" s="55"/>
      <c r="D934" s="174"/>
      <c r="E934" s="54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</row>
    <row r="935" spans="1:19" x14ac:dyDescent="0.25">
      <c r="A935" s="55"/>
      <c r="B935" s="55"/>
      <c r="C935" s="55"/>
      <c r="D935" s="174"/>
      <c r="E935" s="54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</row>
    <row r="936" spans="1:19" x14ac:dyDescent="0.25">
      <c r="A936" s="55"/>
      <c r="B936" s="55"/>
      <c r="C936" s="55"/>
      <c r="D936" s="174"/>
      <c r="E936" s="54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</row>
    <row r="937" spans="1:19" x14ac:dyDescent="0.25">
      <c r="A937" s="55"/>
      <c r="B937" s="55"/>
      <c r="C937" s="55"/>
      <c r="D937" s="174"/>
      <c r="E937" s="54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</row>
    <row r="938" spans="1:19" x14ac:dyDescent="0.25">
      <c r="A938" s="55"/>
      <c r="B938" s="55"/>
      <c r="C938" s="55"/>
      <c r="D938" s="174"/>
      <c r="E938" s="54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</row>
    <row r="939" spans="1:19" x14ac:dyDescent="0.25">
      <c r="A939" s="55"/>
      <c r="B939" s="55"/>
      <c r="C939" s="55"/>
      <c r="D939" s="174"/>
      <c r="E939" s="54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</row>
    <row r="940" spans="1:19" x14ac:dyDescent="0.25">
      <c r="A940" s="55"/>
      <c r="B940" s="55"/>
      <c r="C940" s="55"/>
      <c r="D940" s="174"/>
      <c r="E940" s="54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</row>
    <row r="941" spans="1:19" x14ac:dyDescent="0.25">
      <c r="A941" s="55"/>
      <c r="B941" s="55"/>
      <c r="C941" s="55"/>
      <c r="D941" s="174"/>
      <c r="E941" s="54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</row>
    <row r="942" spans="1:19" x14ac:dyDescent="0.25">
      <c r="A942" s="55"/>
      <c r="B942" s="55"/>
      <c r="C942" s="55"/>
      <c r="D942" s="174"/>
      <c r="E942" s="54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</row>
    <row r="943" spans="1:19" x14ac:dyDescent="0.25">
      <c r="A943" s="55"/>
      <c r="B943" s="55"/>
      <c r="C943" s="55"/>
      <c r="D943" s="174"/>
      <c r="E943" s="54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</row>
    <row r="944" spans="1:19" x14ac:dyDescent="0.25">
      <c r="A944" s="55"/>
      <c r="B944" s="55"/>
      <c r="C944" s="55"/>
      <c r="D944" s="174"/>
      <c r="E944" s="54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</row>
    <row r="945" spans="1:19" x14ac:dyDescent="0.25">
      <c r="A945" s="55"/>
      <c r="B945" s="55"/>
      <c r="C945" s="55"/>
      <c r="D945" s="174"/>
      <c r="E945" s="54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</row>
    <row r="946" spans="1:19" x14ac:dyDescent="0.25">
      <c r="A946" s="55"/>
      <c r="B946" s="55"/>
      <c r="C946" s="55"/>
      <c r="D946" s="174"/>
      <c r="E946" s="54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</row>
    <row r="947" spans="1:19" x14ac:dyDescent="0.25">
      <c r="A947" s="55"/>
      <c r="B947" s="55"/>
      <c r="C947" s="55"/>
      <c r="D947" s="174"/>
      <c r="E947" s="54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</row>
    <row r="948" spans="1:19" x14ac:dyDescent="0.25">
      <c r="A948" s="55"/>
      <c r="B948" s="55"/>
      <c r="C948" s="55"/>
      <c r="D948" s="174"/>
      <c r="E948" s="54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</row>
    <row r="949" spans="1:19" x14ac:dyDescent="0.25">
      <c r="A949" s="55"/>
      <c r="B949" s="55"/>
      <c r="C949" s="55"/>
      <c r="D949" s="174"/>
      <c r="E949" s="54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</row>
    <row r="950" spans="1:19" x14ac:dyDescent="0.25">
      <c r="A950" s="55"/>
      <c r="B950" s="55"/>
      <c r="C950" s="55"/>
      <c r="D950" s="174"/>
      <c r="E950" s="54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</row>
    <row r="951" spans="1:19" x14ac:dyDescent="0.25">
      <c r="A951" s="55"/>
      <c r="B951" s="55"/>
      <c r="C951" s="55"/>
      <c r="D951" s="174"/>
      <c r="E951" s="54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</row>
    <row r="952" spans="1:19" x14ac:dyDescent="0.25">
      <c r="A952" s="55"/>
      <c r="B952" s="55"/>
      <c r="C952" s="55"/>
      <c r="D952" s="174"/>
      <c r="E952" s="54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</row>
    <row r="953" spans="1:19" x14ac:dyDescent="0.25">
      <c r="A953" s="55"/>
      <c r="B953" s="55"/>
      <c r="C953" s="55"/>
      <c r="D953" s="174"/>
      <c r="E953" s="54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</row>
    <row r="954" spans="1:19" x14ac:dyDescent="0.25">
      <c r="A954" s="55"/>
      <c r="B954" s="55"/>
      <c r="C954" s="55"/>
      <c r="D954" s="174"/>
      <c r="E954" s="54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</row>
    <row r="955" spans="1:19" x14ac:dyDescent="0.25">
      <c r="A955" s="55"/>
      <c r="B955" s="55"/>
      <c r="C955" s="55"/>
      <c r="D955" s="174"/>
      <c r="E955" s="54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</row>
    <row r="956" spans="1:19" x14ac:dyDescent="0.25">
      <c r="A956" s="55"/>
      <c r="B956" s="55"/>
      <c r="C956" s="55"/>
      <c r="D956" s="174"/>
      <c r="E956" s="54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</row>
    <row r="957" spans="1:19" x14ac:dyDescent="0.25">
      <c r="A957" s="55"/>
      <c r="B957" s="55"/>
      <c r="C957" s="55"/>
      <c r="D957" s="174"/>
      <c r="E957" s="54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</row>
    <row r="958" spans="1:19" x14ac:dyDescent="0.25">
      <c r="A958" s="55"/>
      <c r="B958" s="55"/>
      <c r="C958" s="55"/>
      <c r="D958" s="174"/>
      <c r="E958" s="54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</row>
    <row r="959" spans="1:19" x14ac:dyDescent="0.25">
      <c r="A959" s="55"/>
      <c r="B959" s="55"/>
      <c r="C959" s="55"/>
      <c r="D959" s="174"/>
      <c r="E959" s="54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</row>
    <row r="960" spans="1:19" x14ac:dyDescent="0.25">
      <c r="A960" s="55"/>
      <c r="B960" s="55"/>
      <c r="C960" s="55"/>
      <c r="D960" s="174"/>
      <c r="E960" s="54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</row>
    <row r="961" spans="1:19" x14ac:dyDescent="0.25">
      <c r="A961" s="55"/>
      <c r="B961" s="55"/>
      <c r="C961" s="55"/>
      <c r="D961" s="174"/>
      <c r="E961" s="54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</row>
    <row r="962" spans="1:19" x14ac:dyDescent="0.25">
      <c r="A962" s="55"/>
      <c r="B962" s="55"/>
      <c r="C962" s="55"/>
      <c r="D962" s="174"/>
      <c r="E962" s="54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</row>
    <row r="963" spans="1:19" x14ac:dyDescent="0.25">
      <c r="A963" s="55"/>
      <c r="B963" s="55"/>
      <c r="C963" s="55"/>
      <c r="D963" s="174"/>
      <c r="E963" s="54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</row>
    <row r="964" spans="1:19" x14ac:dyDescent="0.25">
      <c r="A964" s="55"/>
      <c r="B964" s="55"/>
      <c r="C964" s="55"/>
      <c r="D964" s="174"/>
      <c r="E964" s="54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</row>
    <row r="965" spans="1:19" x14ac:dyDescent="0.25">
      <c r="A965" s="55"/>
      <c r="B965" s="55"/>
      <c r="C965" s="55"/>
      <c r="D965" s="174"/>
      <c r="E965" s="54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</row>
    <row r="966" spans="1:19" x14ac:dyDescent="0.25">
      <c r="A966" s="55"/>
      <c r="B966" s="55"/>
      <c r="C966" s="55"/>
      <c r="D966" s="174"/>
      <c r="E966" s="54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</row>
    <row r="967" spans="1:19" x14ac:dyDescent="0.25">
      <c r="A967" s="55"/>
      <c r="B967" s="55"/>
      <c r="C967" s="55"/>
      <c r="D967" s="174"/>
      <c r="E967" s="54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</row>
    <row r="968" spans="1:19" x14ac:dyDescent="0.25">
      <c r="A968" s="55"/>
      <c r="B968" s="55"/>
      <c r="C968" s="55"/>
      <c r="D968" s="174"/>
      <c r="E968" s="54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</row>
    <row r="969" spans="1:19" x14ac:dyDescent="0.25">
      <c r="A969" s="55"/>
      <c r="B969" s="55"/>
      <c r="C969" s="55"/>
      <c r="D969" s="174"/>
      <c r="E969" s="54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</row>
    <row r="970" spans="1:19" x14ac:dyDescent="0.25">
      <c r="A970" s="55"/>
      <c r="B970" s="55"/>
      <c r="C970" s="55"/>
      <c r="D970" s="174"/>
      <c r="E970" s="54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</row>
    <row r="971" spans="1:19" x14ac:dyDescent="0.25">
      <c r="A971" s="55"/>
      <c r="B971" s="55"/>
      <c r="C971" s="55"/>
      <c r="D971" s="174"/>
      <c r="E971" s="54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</row>
    <row r="972" spans="1:19" x14ac:dyDescent="0.25">
      <c r="A972" s="55"/>
      <c r="B972" s="55"/>
      <c r="C972" s="55"/>
      <c r="D972" s="174"/>
      <c r="E972" s="54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</row>
    <row r="973" spans="1:19" x14ac:dyDescent="0.25">
      <c r="A973" s="55"/>
      <c r="B973" s="55"/>
      <c r="C973" s="55"/>
      <c r="D973" s="174"/>
      <c r="E973" s="54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</row>
    <row r="974" spans="1:19" x14ac:dyDescent="0.25">
      <c r="A974" s="55"/>
      <c r="B974" s="55"/>
      <c r="C974" s="55"/>
      <c r="D974" s="174"/>
      <c r="E974" s="54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</row>
    <row r="975" spans="1:19" x14ac:dyDescent="0.25">
      <c r="A975" s="55"/>
      <c r="B975" s="55"/>
      <c r="C975" s="55"/>
      <c r="D975" s="174"/>
      <c r="E975" s="54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</row>
    <row r="976" spans="1:19" x14ac:dyDescent="0.25">
      <c r="A976" s="55"/>
      <c r="B976" s="55"/>
      <c r="C976" s="55"/>
      <c r="D976" s="174"/>
      <c r="E976" s="54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</row>
    <row r="977" spans="1:19" x14ac:dyDescent="0.25">
      <c r="A977" s="55"/>
      <c r="B977" s="55"/>
      <c r="C977" s="55"/>
      <c r="D977" s="174"/>
      <c r="E977" s="54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</row>
    <row r="978" spans="1:19" x14ac:dyDescent="0.25">
      <c r="A978" s="55"/>
      <c r="B978" s="55"/>
      <c r="C978" s="55"/>
      <c r="D978" s="174"/>
      <c r="E978" s="54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</row>
    <row r="979" spans="1:19" x14ac:dyDescent="0.25">
      <c r="A979" s="55"/>
      <c r="B979" s="55"/>
      <c r="C979" s="55"/>
      <c r="D979" s="174"/>
      <c r="E979" s="54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</row>
    <row r="980" spans="1:19" x14ac:dyDescent="0.25">
      <c r="A980" s="55"/>
      <c r="B980" s="55"/>
      <c r="C980" s="55"/>
      <c r="D980" s="174"/>
      <c r="E980" s="54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</row>
    <row r="981" spans="1:19" x14ac:dyDescent="0.25">
      <c r="A981" s="55"/>
      <c r="B981" s="55"/>
      <c r="C981" s="55"/>
      <c r="D981" s="174"/>
      <c r="E981" s="54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</row>
    <row r="982" spans="1:19" x14ac:dyDescent="0.25">
      <c r="A982" s="55"/>
      <c r="B982" s="55"/>
      <c r="C982" s="55"/>
      <c r="D982" s="174"/>
      <c r="E982" s="54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</row>
    <row r="983" spans="1:19" x14ac:dyDescent="0.25">
      <c r="A983" s="55"/>
      <c r="B983" s="55"/>
      <c r="C983" s="55"/>
      <c r="D983" s="174"/>
      <c r="E983" s="54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</row>
    <row r="984" spans="1:19" x14ac:dyDescent="0.25">
      <c r="A984" s="55"/>
      <c r="B984" s="55"/>
      <c r="C984" s="55"/>
      <c r="D984" s="174"/>
      <c r="E984" s="54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</row>
    <row r="985" spans="1:19" x14ac:dyDescent="0.25">
      <c r="A985" s="55"/>
      <c r="B985" s="55"/>
      <c r="C985" s="55"/>
      <c r="D985" s="174"/>
      <c r="E985" s="54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</row>
    <row r="986" spans="1:19" x14ac:dyDescent="0.25">
      <c r="A986" s="55"/>
      <c r="B986" s="55"/>
      <c r="C986" s="55"/>
      <c r="D986" s="174"/>
      <c r="E986" s="54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99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3.21875" customWidth="1"/>
    <col min="2" max="2" width="7.21875" customWidth="1"/>
    <col min="3" max="3" width="17.88671875" customWidth="1"/>
    <col min="4" max="4" width="18.77734375" customWidth="1"/>
    <col min="5" max="5" width="16.33203125" customWidth="1"/>
    <col min="6" max="6" width="15.44140625" customWidth="1"/>
  </cols>
  <sheetData>
    <row r="1" spans="1:6" ht="30" customHeight="1" x14ac:dyDescent="0.25">
      <c r="A1" s="160"/>
      <c r="B1" s="170" t="s">
        <v>179</v>
      </c>
      <c r="C1" s="170" t="s">
        <v>180</v>
      </c>
      <c r="D1" s="170" t="s">
        <v>181</v>
      </c>
      <c r="E1" s="170" t="s">
        <v>182</v>
      </c>
      <c r="F1" s="171" t="s">
        <v>183</v>
      </c>
    </row>
    <row r="2" spans="1:6" ht="30" customHeight="1" x14ac:dyDescent="0.25">
      <c r="A2" s="160"/>
      <c r="B2" s="170"/>
      <c r="C2" s="172"/>
      <c r="D2" s="172"/>
      <c r="E2" s="172"/>
      <c r="F2" s="171"/>
    </row>
    <row r="3" spans="1:6" ht="22.5" customHeight="1" x14ac:dyDescent="0.25">
      <c r="A3" s="160"/>
      <c r="B3" s="161">
        <v>1</v>
      </c>
      <c r="C3" s="162">
        <v>217600.02</v>
      </c>
      <c r="D3" s="163">
        <v>289930</v>
      </c>
      <c r="E3" s="164">
        <f t="shared" ref="E3:E33" si="0">C3+D3</f>
        <v>507530.02</v>
      </c>
      <c r="F3" s="173" t="s">
        <v>209</v>
      </c>
    </row>
    <row r="4" spans="1:6" ht="22.5" customHeight="1" x14ac:dyDescent="0.25">
      <c r="A4" s="160"/>
      <c r="B4" s="165">
        <v>2</v>
      </c>
      <c r="C4" s="163">
        <v>678800.01</v>
      </c>
      <c r="D4" s="163">
        <v>634500.03</v>
      </c>
      <c r="E4" s="164">
        <f t="shared" si="0"/>
        <v>1313300.04</v>
      </c>
      <c r="F4" s="173" t="s">
        <v>189</v>
      </c>
    </row>
    <row r="5" spans="1:6" ht="22.5" customHeight="1" x14ac:dyDescent="0.25">
      <c r="A5" s="160"/>
      <c r="B5" s="165">
        <v>3</v>
      </c>
      <c r="C5" s="163">
        <v>453800</v>
      </c>
      <c r="D5" s="163">
        <v>557900.03</v>
      </c>
      <c r="E5" s="164">
        <f t="shared" si="0"/>
        <v>1011700.03</v>
      </c>
      <c r="F5" s="173" t="s">
        <v>190</v>
      </c>
    </row>
    <row r="6" spans="1:6" ht="22.5" customHeight="1" x14ac:dyDescent="0.25">
      <c r="A6" s="160"/>
      <c r="B6" s="165">
        <v>4</v>
      </c>
      <c r="C6" s="163">
        <v>386400.03</v>
      </c>
      <c r="D6" s="163">
        <v>277100.03999999998</v>
      </c>
      <c r="E6" s="164">
        <f t="shared" si="0"/>
        <v>663500.07000000007</v>
      </c>
      <c r="F6" s="173" t="s">
        <v>184</v>
      </c>
    </row>
    <row r="7" spans="1:6" ht="22.5" customHeight="1" x14ac:dyDescent="0.25">
      <c r="A7" s="160"/>
      <c r="B7" s="165">
        <v>5</v>
      </c>
      <c r="C7" s="163">
        <v>305600</v>
      </c>
      <c r="D7" s="163">
        <v>260800.01</v>
      </c>
      <c r="E7" s="164">
        <f t="shared" si="0"/>
        <v>566400.01</v>
      </c>
      <c r="F7" s="173" t="s">
        <v>185</v>
      </c>
    </row>
    <row r="8" spans="1:6" ht="22.5" customHeight="1" x14ac:dyDescent="0.25">
      <c r="A8" s="160"/>
      <c r="B8" s="165">
        <v>6</v>
      </c>
      <c r="C8" s="163">
        <v>471000.01</v>
      </c>
      <c r="D8" s="163">
        <v>308101.03000000003</v>
      </c>
      <c r="E8" s="164">
        <f t="shared" si="0"/>
        <v>779101.04</v>
      </c>
      <c r="F8" s="173" t="s">
        <v>186</v>
      </c>
    </row>
    <row r="9" spans="1:6" ht="22.5" customHeight="1" x14ac:dyDescent="0.25">
      <c r="A9" s="160"/>
      <c r="B9" s="165">
        <v>7</v>
      </c>
      <c r="C9" s="163">
        <v>330000.03000000003</v>
      </c>
      <c r="D9" s="163">
        <v>275980</v>
      </c>
      <c r="E9" s="164">
        <f t="shared" si="0"/>
        <v>605980.03</v>
      </c>
      <c r="F9" s="173" t="s">
        <v>187</v>
      </c>
    </row>
    <row r="10" spans="1:6" ht="22.5" customHeight="1" x14ac:dyDescent="0.25">
      <c r="A10" s="160"/>
      <c r="B10" s="165">
        <v>8</v>
      </c>
      <c r="C10" s="163">
        <v>442000.01</v>
      </c>
      <c r="D10" s="163">
        <v>619270.03</v>
      </c>
      <c r="E10" s="164">
        <f t="shared" si="0"/>
        <v>1061270.04</v>
      </c>
      <c r="F10" s="173" t="s">
        <v>188</v>
      </c>
    </row>
    <row r="11" spans="1:6" ht="22.5" customHeight="1" x14ac:dyDescent="0.25">
      <c r="A11" s="160"/>
      <c r="B11" s="165">
        <v>9</v>
      </c>
      <c r="C11" s="163">
        <v>400900</v>
      </c>
      <c r="D11" s="163">
        <v>666200.02</v>
      </c>
      <c r="E11" s="164">
        <f t="shared" si="0"/>
        <v>1067100.02</v>
      </c>
      <c r="F11" s="173" t="s">
        <v>189</v>
      </c>
    </row>
    <row r="12" spans="1:6" ht="22.5" customHeight="1" x14ac:dyDescent="0.25">
      <c r="A12" s="160"/>
      <c r="B12" s="165">
        <v>10</v>
      </c>
      <c r="C12" s="163">
        <v>449700</v>
      </c>
      <c r="D12" s="163">
        <v>354200.02</v>
      </c>
      <c r="E12" s="164">
        <f t="shared" si="0"/>
        <v>803900.02</v>
      </c>
      <c r="F12" s="173" t="s">
        <v>190</v>
      </c>
    </row>
    <row r="13" spans="1:6" ht="22.5" customHeight="1" x14ac:dyDescent="0.25">
      <c r="A13" s="160"/>
      <c r="B13" s="165">
        <v>11</v>
      </c>
      <c r="C13" s="163">
        <v>378100</v>
      </c>
      <c r="D13" s="163">
        <v>107050</v>
      </c>
      <c r="E13" s="164">
        <f t="shared" si="0"/>
        <v>485150</v>
      </c>
      <c r="F13" s="173" t="s">
        <v>184</v>
      </c>
    </row>
    <row r="14" spans="1:6" ht="22.5" customHeight="1" x14ac:dyDescent="0.25">
      <c r="A14" s="160"/>
      <c r="B14" s="165">
        <v>12</v>
      </c>
      <c r="C14" s="163">
        <v>160800</v>
      </c>
      <c r="D14" s="163">
        <v>271000</v>
      </c>
      <c r="E14" s="164">
        <f t="shared" si="0"/>
        <v>431800</v>
      </c>
      <c r="F14" s="173" t="s">
        <v>185</v>
      </c>
    </row>
    <row r="15" spans="1:6" ht="22.5" customHeight="1" x14ac:dyDescent="0.25">
      <c r="A15" s="160"/>
      <c r="B15" s="165">
        <v>13</v>
      </c>
      <c r="C15" s="163">
        <v>190600</v>
      </c>
      <c r="D15" s="163">
        <v>210750</v>
      </c>
      <c r="E15" s="164">
        <f t="shared" si="0"/>
        <v>401350</v>
      </c>
      <c r="F15" s="173" t="s">
        <v>186</v>
      </c>
    </row>
    <row r="16" spans="1:6" ht="22.5" customHeight="1" x14ac:dyDescent="0.25">
      <c r="A16" s="160"/>
      <c r="B16" s="165">
        <v>14</v>
      </c>
      <c r="C16" s="163">
        <v>322100.01</v>
      </c>
      <c r="D16" s="163">
        <v>368400.01</v>
      </c>
      <c r="E16" s="164">
        <f t="shared" si="0"/>
        <v>690500.02</v>
      </c>
      <c r="F16" s="173" t="s">
        <v>187</v>
      </c>
    </row>
    <row r="17" spans="1:6" ht="22.5" customHeight="1" x14ac:dyDescent="0.25">
      <c r="A17" s="160"/>
      <c r="B17" s="165">
        <v>15</v>
      </c>
      <c r="C17" s="163">
        <v>366950.01</v>
      </c>
      <c r="D17" s="163">
        <v>328500</v>
      </c>
      <c r="E17" s="164">
        <f t="shared" si="0"/>
        <v>695450.01</v>
      </c>
      <c r="F17" s="173" t="s">
        <v>188</v>
      </c>
    </row>
    <row r="18" spans="1:6" ht="22.5" customHeight="1" x14ac:dyDescent="0.25">
      <c r="A18" s="160"/>
      <c r="B18" s="165">
        <v>16</v>
      </c>
      <c r="C18" s="163">
        <v>280550.01</v>
      </c>
      <c r="D18" s="163">
        <v>373500</v>
      </c>
      <c r="E18" s="164">
        <f t="shared" si="0"/>
        <v>654050.01</v>
      </c>
      <c r="F18" s="173" t="s">
        <v>189</v>
      </c>
    </row>
    <row r="19" spans="1:6" ht="22.5" customHeight="1" x14ac:dyDescent="0.25">
      <c r="A19" s="160"/>
      <c r="B19" s="165">
        <v>17</v>
      </c>
      <c r="C19" s="163">
        <v>614600.04</v>
      </c>
      <c r="D19" s="163">
        <v>540300.02</v>
      </c>
      <c r="E19" s="164">
        <f t="shared" si="0"/>
        <v>1154900.06</v>
      </c>
      <c r="F19" s="173" t="s">
        <v>190</v>
      </c>
    </row>
    <row r="20" spans="1:6" ht="22.5" customHeight="1" x14ac:dyDescent="0.25">
      <c r="A20" s="160"/>
      <c r="B20" s="165">
        <v>18</v>
      </c>
      <c r="C20" s="163">
        <v>285350.01</v>
      </c>
      <c r="D20" s="163">
        <v>191700</v>
      </c>
      <c r="E20" s="164">
        <f t="shared" si="0"/>
        <v>477050.01</v>
      </c>
      <c r="F20" s="173" t="s">
        <v>184</v>
      </c>
    </row>
    <row r="21" spans="1:6" ht="22.5" customHeight="1" x14ac:dyDescent="0.25">
      <c r="A21" s="160"/>
      <c r="B21" s="165">
        <v>19</v>
      </c>
      <c r="C21" s="163">
        <v>87100</v>
      </c>
      <c r="D21" s="163">
        <v>50900</v>
      </c>
      <c r="E21" s="164">
        <f t="shared" si="0"/>
        <v>138000</v>
      </c>
      <c r="F21" s="173" t="s">
        <v>185</v>
      </c>
    </row>
    <row r="22" spans="1:6" ht="22.5" customHeight="1" x14ac:dyDescent="0.25">
      <c r="A22" s="160"/>
      <c r="B22" s="165">
        <v>20</v>
      </c>
      <c r="C22" s="163">
        <v>112800.01</v>
      </c>
      <c r="D22" s="163">
        <v>139000</v>
      </c>
      <c r="E22" s="164">
        <f t="shared" si="0"/>
        <v>251800.01</v>
      </c>
      <c r="F22" s="173" t="s">
        <v>186</v>
      </c>
    </row>
    <row r="23" spans="1:6" ht="22.5" customHeight="1" x14ac:dyDescent="0.25">
      <c r="A23" s="160"/>
      <c r="B23" s="165">
        <v>21</v>
      </c>
      <c r="C23" s="163">
        <v>165000</v>
      </c>
      <c r="D23" s="163">
        <v>210100</v>
      </c>
      <c r="E23" s="164">
        <f t="shared" si="0"/>
        <v>375100</v>
      </c>
      <c r="F23" s="173" t="s">
        <v>187</v>
      </c>
    </row>
    <row r="24" spans="1:6" ht="22.5" customHeight="1" x14ac:dyDescent="0.25">
      <c r="A24" s="160"/>
      <c r="B24" s="165">
        <v>22</v>
      </c>
      <c r="C24" s="163">
        <v>351800</v>
      </c>
      <c r="D24" s="163">
        <v>435200</v>
      </c>
      <c r="E24" s="164">
        <f t="shared" si="0"/>
        <v>787000</v>
      </c>
      <c r="F24" s="173" t="s">
        <v>188</v>
      </c>
    </row>
    <row r="25" spans="1:6" ht="22.5" customHeight="1" x14ac:dyDescent="0.25">
      <c r="A25" s="160"/>
      <c r="B25" s="165">
        <v>23</v>
      </c>
      <c r="C25" s="163">
        <v>499500</v>
      </c>
      <c r="D25" s="163">
        <v>469400</v>
      </c>
      <c r="E25" s="164">
        <f t="shared" si="0"/>
        <v>968900</v>
      </c>
      <c r="F25" s="173" t="s">
        <v>189</v>
      </c>
    </row>
    <row r="26" spans="1:6" ht="22.5" customHeight="1" x14ac:dyDescent="0.25">
      <c r="A26" s="160"/>
      <c r="B26" s="165">
        <v>24</v>
      </c>
      <c r="C26" s="163">
        <v>165700</v>
      </c>
      <c r="D26" s="163">
        <v>420300</v>
      </c>
      <c r="E26" s="164">
        <f t="shared" si="0"/>
        <v>586000</v>
      </c>
      <c r="F26" s="173" t="s">
        <v>190</v>
      </c>
    </row>
    <row r="27" spans="1:6" ht="22.5" customHeight="1" x14ac:dyDescent="0.25">
      <c r="A27" s="160"/>
      <c r="B27" s="165">
        <v>25</v>
      </c>
      <c r="C27" s="163">
        <v>406506</v>
      </c>
      <c r="D27" s="163">
        <v>495500</v>
      </c>
      <c r="E27" s="164">
        <f t="shared" si="0"/>
        <v>902006</v>
      </c>
      <c r="F27" s="173" t="s">
        <v>184</v>
      </c>
    </row>
    <row r="28" spans="1:6" ht="22.5" customHeight="1" x14ac:dyDescent="0.25">
      <c r="A28" s="160"/>
      <c r="B28" s="165">
        <v>26</v>
      </c>
      <c r="C28" s="163">
        <v>207800</v>
      </c>
      <c r="D28" s="163">
        <v>252700</v>
      </c>
      <c r="E28" s="164">
        <f t="shared" si="0"/>
        <v>460500</v>
      </c>
      <c r="F28" s="173" t="s">
        <v>185</v>
      </c>
    </row>
    <row r="29" spans="1:6" ht="22.5" customHeight="1" x14ac:dyDescent="0.25">
      <c r="A29" s="160"/>
      <c r="B29" s="165">
        <v>27</v>
      </c>
      <c r="C29" s="163">
        <v>301100</v>
      </c>
      <c r="D29" s="163">
        <v>353100</v>
      </c>
      <c r="E29" s="164">
        <f t="shared" si="0"/>
        <v>654200</v>
      </c>
      <c r="F29" s="173" t="s">
        <v>186</v>
      </c>
    </row>
    <row r="30" spans="1:6" ht="22.5" customHeight="1" x14ac:dyDescent="0.25">
      <c r="A30" s="160"/>
      <c r="B30" s="165">
        <v>28</v>
      </c>
      <c r="C30" s="163">
        <v>250300</v>
      </c>
      <c r="D30" s="163">
        <v>406900</v>
      </c>
      <c r="E30" s="164">
        <f t="shared" si="0"/>
        <v>657200</v>
      </c>
      <c r="F30" s="173" t="s">
        <v>187</v>
      </c>
    </row>
    <row r="31" spans="1:6" ht="22.5" customHeight="1" x14ac:dyDescent="0.25">
      <c r="A31" s="160"/>
      <c r="B31" s="165">
        <v>29</v>
      </c>
      <c r="C31" s="163">
        <v>349600</v>
      </c>
      <c r="D31" s="163">
        <v>421700</v>
      </c>
      <c r="E31" s="164">
        <f t="shared" si="0"/>
        <v>771300</v>
      </c>
      <c r="F31" s="173" t="s">
        <v>188</v>
      </c>
    </row>
    <row r="32" spans="1:6" ht="22.5" customHeight="1" x14ac:dyDescent="0.25">
      <c r="A32" s="160"/>
      <c r="B32" s="165">
        <v>30</v>
      </c>
      <c r="C32" s="163">
        <v>339700</v>
      </c>
      <c r="D32" s="163">
        <v>328500</v>
      </c>
      <c r="E32" s="164">
        <f t="shared" si="0"/>
        <v>668200</v>
      </c>
      <c r="F32" s="173" t="s">
        <v>189</v>
      </c>
    </row>
    <row r="33" spans="1:6" ht="22.5" customHeight="1" x14ac:dyDescent="0.25">
      <c r="A33" s="160"/>
      <c r="B33" s="192">
        <v>31</v>
      </c>
      <c r="C33" s="193">
        <v>104100</v>
      </c>
      <c r="D33" s="193">
        <v>350800</v>
      </c>
      <c r="E33" s="164">
        <f t="shared" si="0"/>
        <v>454900</v>
      </c>
      <c r="F33" s="173" t="s">
        <v>190</v>
      </c>
    </row>
    <row r="34" spans="1:6" ht="22.5" customHeight="1" x14ac:dyDescent="0.25">
      <c r="B34" s="167" t="s">
        <v>191</v>
      </c>
      <c r="C34" s="168">
        <f t="shared" ref="C34:E34" si="1">SUM(C3:C33)</f>
        <v>10075856.199999999</v>
      </c>
      <c r="D34" s="168">
        <f t="shared" si="1"/>
        <v>10969281.24</v>
      </c>
      <c r="E34" s="168">
        <f t="shared" si="1"/>
        <v>21045137.439999998</v>
      </c>
      <c r="F34" s="169"/>
    </row>
    <row r="35" spans="1:6" ht="22.5" customHeight="1" x14ac:dyDescent="0.25">
      <c r="B35" s="167"/>
      <c r="C35" s="168">
        <f t="shared" ref="C35:D35" si="2">IF(COUNT(C3:C33)=0, "", AVERAGE(C3:C33))</f>
        <v>325027.61935483868</v>
      </c>
      <c r="D35" s="168">
        <f t="shared" si="2"/>
        <v>353847.78193548386</v>
      </c>
      <c r="E35" s="168">
        <f>D35+C35</f>
        <v>678875.40129032254</v>
      </c>
      <c r="F35" s="169" t="s">
        <v>192</v>
      </c>
    </row>
    <row r="36" spans="1:6" ht="22.5" customHeight="1" x14ac:dyDescent="0.25">
      <c r="B36" s="167"/>
      <c r="C36" s="168"/>
      <c r="D36" s="168"/>
      <c r="E36" s="168">
        <f>E35*31</f>
        <v>21045137.439999998</v>
      </c>
      <c r="F36" s="169" t="s">
        <v>193</v>
      </c>
    </row>
    <row r="37" spans="1:6" ht="13.2" x14ac:dyDescent="0.25">
      <c r="C37" s="160"/>
      <c r="D37" s="160"/>
      <c r="E37" s="160"/>
    </row>
    <row r="38" spans="1:6" ht="13.2" x14ac:dyDescent="0.25">
      <c r="C38" s="160"/>
      <c r="D38" s="160"/>
      <c r="E38" s="160"/>
    </row>
    <row r="39" spans="1:6" ht="13.2" x14ac:dyDescent="0.25">
      <c r="C39" s="160"/>
      <c r="D39" s="160"/>
      <c r="E39" s="160"/>
    </row>
    <row r="40" spans="1:6" ht="13.2" x14ac:dyDescent="0.25">
      <c r="C40" s="160"/>
      <c r="D40" s="160"/>
      <c r="E40" s="160"/>
    </row>
    <row r="41" spans="1:6" ht="13.2" x14ac:dyDescent="0.25">
      <c r="C41" s="160"/>
      <c r="D41" s="160"/>
      <c r="E41" s="160"/>
    </row>
    <row r="42" spans="1:6" ht="13.2" x14ac:dyDescent="0.25">
      <c r="C42" s="160"/>
      <c r="D42" s="160"/>
      <c r="E42" s="160"/>
    </row>
    <row r="43" spans="1:6" ht="13.2" x14ac:dyDescent="0.25">
      <c r="C43" s="160"/>
      <c r="D43" s="160"/>
      <c r="E43" s="160"/>
    </row>
    <row r="44" spans="1:6" ht="13.2" x14ac:dyDescent="0.25">
      <c r="C44" s="160"/>
      <c r="D44" s="160"/>
      <c r="E44" s="160"/>
    </row>
    <row r="45" spans="1:6" ht="13.2" x14ac:dyDescent="0.25">
      <c r="C45" s="160"/>
      <c r="D45" s="160"/>
      <c r="E45" s="160"/>
    </row>
    <row r="46" spans="1:6" ht="13.2" x14ac:dyDescent="0.25">
      <c r="C46" s="160"/>
      <c r="D46" s="160"/>
      <c r="E46" s="160"/>
    </row>
    <row r="47" spans="1:6" ht="13.2" x14ac:dyDescent="0.25">
      <c r="C47" s="160"/>
      <c r="D47" s="160"/>
      <c r="E47" s="160"/>
    </row>
    <row r="48" spans="1:6" ht="13.2" x14ac:dyDescent="0.25">
      <c r="C48" s="160"/>
      <c r="D48" s="160"/>
      <c r="E48" s="160"/>
    </row>
    <row r="49" spans="3:5" ht="13.2" x14ac:dyDescent="0.25">
      <c r="C49" s="160"/>
      <c r="D49" s="160"/>
      <c r="E49" s="160"/>
    </row>
    <row r="50" spans="3:5" ht="13.2" x14ac:dyDescent="0.25">
      <c r="C50" s="160"/>
      <c r="D50" s="160"/>
      <c r="E50" s="160"/>
    </row>
    <row r="51" spans="3:5" ht="13.2" x14ac:dyDescent="0.25">
      <c r="C51" s="160"/>
      <c r="D51" s="160"/>
      <c r="E51" s="160"/>
    </row>
    <row r="52" spans="3:5" ht="13.2" x14ac:dyDescent="0.25">
      <c r="C52" s="160"/>
      <c r="D52" s="160"/>
      <c r="E52" s="160"/>
    </row>
    <row r="53" spans="3:5" ht="13.2" x14ac:dyDescent="0.25">
      <c r="C53" s="160"/>
      <c r="D53" s="160"/>
      <c r="E53" s="160"/>
    </row>
    <row r="54" spans="3:5" ht="13.2" x14ac:dyDescent="0.25">
      <c r="C54" s="160"/>
      <c r="D54" s="160"/>
      <c r="E54" s="160"/>
    </row>
    <row r="55" spans="3:5" ht="13.2" x14ac:dyDescent="0.25">
      <c r="C55" s="160"/>
      <c r="D55" s="160"/>
      <c r="E55" s="160"/>
    </row>
    <row r="56" spans="3:5" ht="13.2" x14ac:dyDescent="0.25">
      <c r="C56" s="160"/>
      <c r="D56" s="160"/>
      <c r="E56" s="160"/>
    </row>
    <row r="57" spans="3:5" ht="13.2" x14ac:dyDescent="0.25">
      <c r="C57" s="160"/>
      <c r="D57" s="160"/>
      <c r="E57" s="160"/>
    </row>
    <row r="58" spans="3:5" ht="13.2" x14ac:dyDescent="0.25">
      <c r="C58" s="160"/>
      <c r="D58" s="160"/>
      <c r="E58" s="160"/>
    </row>
    <row r="59" spans="3:5" ht="13.2" x14ac:dyDescent="0.25">
      <c r="C59" s="160"/>
      <c r="D59" s="160"/>
      <c r="E59" s="160"/>
    </row>
    <row r="60" spans="3:5" ht="13.2" x14ac:dyDescent="0.25">
      <c r="C60" s="160"/>
      <c r="D60" s="160"/>
      <c r="E60" s="160"/>
    </row>
    <row r="61" spans="3:5" ht="13.2" x14ac:dyDescent="0.25">
      <c r="C61" s="160"/>
      <c r="D61" s="160"/>
      <c r="E61" s="160"/>
    </row>
    <row r="62" spans="3:5" ht="13.2" x14ac:dyDescent="0.25">
      <c r="C62" s="160"/>
      <c r="D62" s="160"/>
      <c r="E62" s="160"/>
    </row>
    <row r="63" spans="3:5" ht="13.2" x14ac:dyDescent="0.25">
      <c r="C63" s="160"/>
      <c r="D63" s="160"/>
      <c r="E63" s="160"/>
    </row>
    <row r="64" spans="3:5" ht="13.2" x14ac:dyDescent="0.25">
      <c r="C64" s="160"/>
      <c r="D64" s="160"/>
      <c r="E64" s="160"/>
    </row>
    <row r="65" spans="3:5" ht="13.2" x14ac:dyDescent="0.25">
      <c r="C65" s="160"/>
      <c r="D65" s="160"/>
      <c r="E65" s="160"/>
    </row>
    <row r="66" spans="3:5" ht="13.2" x14ac:dyDescent="0.25">
      <c r="C66" s="160"/>
      <c r="D66" s="160"/>
      <c r="E66" s="160"/>
    </row>
    <row r="67" spans="3:5" ht="13.2" x14ac:dyDescent="0.25">
      <c r="C67" s="160"/>
      <c r="D67" s="160"/>
      <c r="E67" s="160"/>
    </row>
    <row r="68" spans="3:5" ht="13.2" x14ac:dyDescent="0.25">
      <c r="C68" s="160"/>
      <c r="D68" s="160"/>
      <c r="E68" s="160"/>
    </row>
    <row r="69" spans="3:5" ht="13.2" x14ac:dyDescent="0.25">
      <c r="C69" s="160"/>
      <c r="D69" s="160"/>
      <c r="E69" s="160"/>
    </row>
    <row r="70" spans="3:5" ht="13.2" x14ac:dyDescent="0.25">
      <c r="C70" s="160"/>
      <c r="D70" s="160"/>
      <c r="E70" s="160"/>
    </row>
    <row r="71" spans="3:5" ht="13.2" x14ac:dyDescent="0.25">
      <c r="C71" s="160"/>
      <c r="D71" s="160"/>
      <c r="E71" s="160"/>
    </row>
    <row r="72" spans="3:5" ht="13.2" x14ac:dyDescent="0.25">
      <c r="C72" s="160"/>
      <c r="D72" s="160"/>
      <c r="E72" s="160"/>
    </row>
    <row r="73" spans="3:5" ht="13.2" x14ac:dyDescent="0.25">
      <c r="C73" s="160"/>
      <c r="D73" s="160"/>
      <c r="E73" s="160"/>
    </row>
    <row r="74" spans="3:5" ht="13.2" x14ac:dyDescent="0.25">
      <c r="C74" s="160"/>
      <c r="D74" s="160"/>
      <c r="E74" s="160"/>
    </row>
    <row r="75" spans="3:5" ht="13.2" x14ac:dyDescent="0.25">
      <c r="C75" s="160"/>
      <c r="D75" s="160"/>
      <c r="E75" s="160"/>
    </row>
    <row r="76" spans="3:5" ht="13.2" x14ac:dyDescent="0.25">
      <c r="C76" s="160"/>
      <c r="D76" s="160"/>
      <c r="E76" s="160"/>
    </row>
    <row r="77" spans="3:5" ht="13.2" x14ac:dyDescent="0.25">
      <c r="C77" s="160"/>
      <c r="D77" s="160"/>
      <c r="E77" s="160"/>
    </row>
    <row r="78" spans="3:5" ht="13.2" x14ac:dyDescent="0.25">
      <c r="C78" s="160"/>
      <c r="D78" s="160"/>
      <c r="E78" s="160"/>
    </row>
    <row r="79" spans="3:5" ht="13.2" x14ac:dyDescent="0.25">
      <c r="C79" s="160"/>
      <c r="D79" s="160"/>
      <c r="E79" s="160"/>
    </row>
    <row r="80" spans="3:5" ht="13.2" x14ac:dyDescent="0.25">
      <c r="C80" s="160"/>
      <c r="D80" s="160"/>
      <c r="E80" s="160"/>
    </row>
    <row r="81" spans="3:5" ht="13.2" x14ac:dyDescent="0.25">
      <c r="C81" s="160"/>
      <c r="D81" s="160"/>
      <c r="E81" s="160"/>
    </row>
    <row r="82" spans="3:5" ht="13.2" x14ac:dyDescent="0.25">
      <c r="C82" s="160"/>
      <c r="D82" s="160"/>
      <c r="E82" s="160"/>
    </row>
    <row r="83" spans="3:5" ht="13.2" x14ac:dyDescent="0.25">
      <c r="C83" s="160"/>
      <c r="D83" s="160"/>
      <c r="E83" s="160"/>
    </row>
    <row r="84" spans="3:5" ht="13.2" x14ac:dyDescent="0.25">
      <c r="C84" s="160"/>
      <c r="D84" s="160"/>
      <c r="E84" s="160"/>
    </row>
    <row r="85" spans="3:5" ht="13.2" x14ac:dyDescent="0.25">
      <c r="C85" s="160"/>
      <c r="D85" s="160"/>
      <c r="E85" s="160"/>
    </row>
    <row r="86" spans="3:5" ht="13.2" x14ac:dyDescent="0.25">
      <c r="C86" s="160"/>
      <c r="D86" s="160"/>
      <c r="E86" s="160"/>
    </row>
    <row r="87" spans="3:5" ht="13.2" x14ac:dyDescent="0.25">
      <c r="C87" s="160"/>
      <c r="D87" s="160"/>
      <c r="E87" s="160"/>
    </row>
    <row r="88" spans="3:5" ht="13.2" x14ac:dyDescent="0.25">
      <c r="C88" s="160"/>
      <c r="D88" s="160"/>
      <c r="E88" s="160"/>
    </row>
    <row r="89" spans="3:5" ht="13.2" x14ac:dyDescent="0.25">
      <c r="C89" s="160"/>
      <c r="D89" s="160"/>
      <c r="E89" s="160"/>
    </row>
    <row r="90" spans="3:5" ht="13.2" x14ac:dyDescent="0.25">
      <c r="C90" s="160"/>
      <c r="D90" s="160"/>
      <c r="E90" s="160"/>
    </row>
    <row r="91" spans="3:5" ht="13.2" x14ac:dyDescent="0.25">
      <c r="C91" s="160"/>
      <c r="D91" s="160"/>
      <c r="E91" s="160"/>
    </row>
    <row r="92" spans="3:5" ht="13.2" x14ac:dyDescent="0.25">
      <c r="C92" s="160"/>
      <c r="D92" s="160"/>
      <c r="E92" s="160"/>
    </row>
    <row r="93" spans="3:5" ht="13.2" x14ac:dyDescent="0.25">
      <c r="C93" s="160"/>
      <c r="D93" s="160"/>
      <c r="E93" s="160"/>
    </row>
    <row r="94" spans="3:5" ht="13.2" x14ac:dyDescent="0.25">
      <c r="C94" s="160"/>
      <c r="D94" s="160"/>
      <c r="E94" s="160"/>
    </row>
    <row r="95" spans="3:5" ht="13.2" x14ac:dyDescent="0.25">
      <c r="C95" s="160"/>
      <c r="D95" s="160"/>
      <c r="E95" s="160"/>
    </row>
    <row r="96" spans="3:5" ht="13.2" x14ac:dyDescent="0.25">
      <c r="C96" s="160"/>
      <c r="D96" s="160"/>
      <c r="E96" s="160"/>
    </row>
    <row r="97" spans="3:5" ht="13.2" x14ac:dyDescent="0.25">
      <c r="C97" s="160"/>
      <c r="D97" s="160"/>
      <c r="E97" s="160"/>
    </row>
    <row r="98" spans="3:5" ht="13.2" x14ac:dyDescent="0.25">
      <c r="C98" s="160"/>
      <c r="D98" s="160"/>
      <c r="E98" s="160"/>
    </row>
    <row r="99" spans="3:5" ht="13.2" x14ac:dyDescent="0.25">
      <c r="C99" s="160"/>
      <c r="D99" s="160"/>
      <c r="E99" s="160"/>
    </row>
    <row r="100" spans="3:5" ht="13.2" x14ac:dyDescent="0.25">
      <c r="C100" s="160"/>
      <c r="D100" s="160"/>
      <c r="E100" s="160"/>
    </row>
    <row r="101" spans="3:5" ht="13.2" x14ac:dyDescent="0.25">
      <c r="C101" s="160"/>
      <c r="D101" s="160"/>
      <c r="E101" s="160"/>
    </row>
    <row r="102" spans="3:5" ht="13.2" x14ac:dyDescent="0.25">
      <c r="C102" s="160"/>
      <c r="D102" s="160"/>
      <c r="E102" s="160"/>
    </row>
    <row r="103" spans="3:5" ht="13.2" x14ac:dyDescent="0.25">
      <c r="C103" s="160"/>
      <c r="D103" s="160"/>
      <c r="E103" s="160"/>
    </row>
    <row r="104" spans="3:5" ht="13.2" x14ac:dyDescent="0.25">
      <c r="C104" s="160"/>
      <c r="D104" s="160"/>
      <c r="E104" s="160"/>
    </row>
    <row r="105" spans="3:5" ht="13.2" x14ac:dyDescent="0.25">
      <c r="C105" s="160"/>
      <c r="D105" s="160"/>
      <c r="E105" s="160"/>
    </row>
    <row r="106" spans="3:5" ht="13.2" x14ac:dyDescent="0.25">
      <c r="C106" s="160"/>
      <c r="D106" s="160"/>
      <c r="E106" s="160"/>
    </row>
    <row r="107" spans="3:5" ht="13.2" x14ac:dyDescent="0.25">
      <c r="C107" s="160"/>
      <c r="D107" s="160"/>
      <c r="E107" s="160"/>
    </row>
    <row r="108" spans="3:5" ht="13.2" x14ac:dyDescent="0.25">
      <c r="C108" s="160"/>
      <c r="D108" s="160"/>
      <c r="E108" s="160"/>
    </row>
    <row r="109" spans="3:5" ht="13.2" x14ac:dyDescent="0.25">
      <c r="C109" s="160"/>
      <c r="D109" s="160"/>
      <c r="E109" s="160"/>
    </row>
    <row r="110" spans="3:5" ht="13.2" x14ac:dyDescent="0.25">
      <c r="C110" s="160"/>
      <c r="D110" s="160"/>
      <c r="E110" s="160"/>
    </row>
    <row r="111" spans="3:5" ht="13.2" x14ac:dyDescent="0.25">
      <c r="C111" s="160"/>
      <c r="D111" s="160"/>
      <c r="E111" s="160"/>
    </row>
    <row r="112" spans="3:5" ht="13.2" x14ac:dyDescent="0.25">
      <c r="C112" s="160"/>
      <c r="D112" s="160"/>
      <c r="E112" s="160"/>
    </row>
    <row r="113" spans="3:5" ht="13.2" x14ac:dyDescent="0.25">
      <c r="C113" s="160"/>
      <c r="D113" s="160"/>
      <c r="E113" s="160"/>
    </row>
    <row r="114" spans="3:5" ht="13.2" x14ac:dyDescent="0.25">
      <c r="C114" s="160"/>
      <c r="D114" s="160"/>
      <c r="E114" s="160"/>
    </row>
    <row r="115" spans="3:5" ht="13.2" x14ac:dyDescent="0.25">
      <c r="C115" s="160"/>
      <c r="D115" s="160"/>
      <c r="E115" s="160"/>
    </row>
    <row r="116" spans="3:5" ht="13.2" x14ac:dyDescent="0.25">
      <c r="C116" s="160"/>
      <c r="D116" s="160"/>
      <c r="E116" s="160"/>
    </row>
    <row r="117" spans="3:5" ht="13.2" x14ac:dyDescent="0.25">
      <c r="C117" s="160"/>
      <c r="D117" s="160"/>
      <c r="E117" s="160"/>
    </row>
    <row r="118" spans="3:5" ht="13.2" x14ac:dyDescent="0.25">
      <c r="C118" s="160"/>
      <c r="D118" s="160"/>
      <c r="E118" s="160"/>
    </row>
    <row r="119" spans="3:5" ht="13.2" x14ac:dyDescent="0.25">
      <c r="C119" s="160"/>
      <c r="D119" s="160"/>
      <c r="E119" s="160"/>
    </row>
    <row r="120" spans="3:5" ht="13.2" x14ac:dyDescent="0.25">
      <c r="C120" s="160"/>
      <c r="D120" s="160"/>
      <c r="E120" s="160"/>
    </row>
    <row r="121" spans="3:5" ht="13.2" x14ac:dyDescent="0.25">
      <c r="C121" s="160"/>
      <c r="D121" s="160"/>
      <c r="E121" s="160"/>
    </row>
    <row r="122" spans="3:5" ht="13.2" x14ac:dyDescent="0.25">
      <c r="C122" s="160"/>
      <c r="D122" s="160"/>
      <c r="E122" s="160"/>
    </row>
    <row r="123" spans="3:5" ht="13.2" x14ac:dyDescent="0.25">
      <c r="C123" s="160"/>
      <c r="D123" s="160"/>
      <c r="E123" s="160"/>
    </row>
    <row r="124" spans="3:5" ht="13.2" x14ac:dyDescent="0.25">
      <c r="C124" s="160"/>
      <c r="D124" s="160"/>
      <c r="E124" s="160"/>
    </row>
    <row r="125" spans="3:5" ht="13.2" x14ac:dyDescent="0.25">
      <c r="C125" s="160"/>
      <c r="D125" s="160"/>
      <c r="E125" s="160"/>
    </row>
    <row r="126" spans="3:5" ht="13.2" x14ac:dyDescent="0.25">
      <c r="C126" s="160"/>
      <c r="D126" s="160"/>
      <c r="E126" s="160"/>
    </row>
    <row r="127" spans="3:5" ht="13.2" x14ac:dyDescent="0.25">
      <c r="C127" s="160"/>
      <c r="D127" s="160"/>
      <c r="E127" s="160"/>
    </row>
    <row r="128" spans="3:5" ht="13.2" x14ac:dyDescent="0.25">
      <c r="C128" s="160"/>
      <c r="D128" s="160"/>
      <c r="E128" s="160"/>
    </row>
    <row r="129" spans="3:5" ht="13.2" x14ac:dyDescent="0.25">
      <c r="C129" s="160"/>
      <c r="D129" s="160"/>
      <c r="E129" s="160"/>
    </row>
    <row r="130" spans="3:5" ht="13.2" x14ac:dyDescent="0.25">
      <c r="C130" s="160"/>
      <c r="D130" s="160"/>
      <c r="E130" s="160"/>
    </row>
    <row r="131" spans="3:5" ht="13.2" x14ac:dyDescent="0.25">
      <c r="C131" s="160"/>
      <c r="D131" s="160"/>
      <c r="E131" s="160"/>
    </row>
    <row r="132" spans="3:5" ht="13.2" x14ac:dyDescent="0.25">
      <c r="C132" s="160"/>
      <c r="D132" s="160"/>
      <c r="E132" s="160"/>
    </row>
    <row r="133" spans="3:5" ht="13.2" x14ac:dyDescent="0.25">
      <c r="C133" s="160"/>
      <c r="D133" s="160"/>
      <c r="E133" s="160"/>
    </row>
    <row r="134" spans="3:5" ht="13.2" x14ac:dyDescent="0.25">
      <c r="C134" s="160"/>
      <c r="D134" s="160"/>
      <c r="E134" s="160"/>
    </row>
    <row r="135" spans="3:5" ht="13.2" x14ac:dyDescent="0.25">
      <c r="C135" s="160"/>
      <c r="D135" s="160"/>
      <c r="E135" s="160"/>
    </row>
    <row r="136" spans="3:5" ht="13.2" x14ac:dyDescent="0.25">
      <c r="C136" s="160"/>
      <c r="D136" s="160"/>
      <c r="E136" s="160"/>
    </row>
    <row r="137" spans="3:5" ht="13.2" x14ac:dyDescent="0.25">
      <c r="C137" s="160"/>
      <c r="D137" s="160"/>
      <c r="E137" s="160"/>
    </row>
    <row r="138" spans="3:5" ht="13.2" x14ac:dyDescent="0.25">
      <c r="C138" s="160"/>
      <c r="D138" s="160"/>
      <c r="E138" s="160"/>
    </row>
    <row r="139" spans="3:5" ht="13.2" x14ac:dyDescent="0.25">
      <c r="C139" s="160"/>
      <c r="D139" s="160"/>
      <c r="E139" s="160"/>
    </row>
    <row r="140" spans="3:5" ht="13.2" x14ac:dyDescent="0.25">
      <c r="C140" s="160"/>
      <c r="D140" s="160"/>
      <c r="E140" s="160"/>
    </row>
    <row r="141" spans="3:5" ht="13.2" x14ac:dyDescent="0.25">
      <c r="C141" s="160"/>
      <c r="D141" s="160"/>
      <c r="E141" s="160"/>
    </row>
    <row r="142" spans="3:5" ht="13.2" x14ac:dyDescent="0.25">
      <c r="C142" s="160"/>
      <c r="D142" s="160"/>
      <c r="E142" s="160"/>
    </row>
    <row r="143" spans="3:5" ht="13.2" x14ac:dyDescent="0.25">
      <c r="C143" s="160"/>
      <c r="D143" s="160"/>
      <c r="E143" s="160"/>
    </row>
    <row r="144" spans="3:5" ht="13.2" x14ac:dyDescent="0.25">
      <c r="C144" s="160"/>
      <c r="D144" s="160"/>
      <c r="E144" s="160"/>
    </row>
    <row r="145" spans="3:5" ht="13.2" x14ac:dyDescent="0.25">
      <c r="C145" s="160"/>
      <c r="D145" s="160"/>
      <c r="E145" s="160"/>
    </row>
    <row r="146" spans="3:5" ht="13.2" x14ac:dyDescent="0.25">
      <c r="C146" s="160"/>
      <c r="D146" s="160"/>
      <c r="E146" s="160"/>
    </row>
    <row r="147" spans="3:5" ht="13.2" x14ac:dyDescent="0.25">
      <c r="C147" s="160"/>
      <c r="D147" s="160"/>
      <c r="E147" s="160"/>
    </row>
    <row r="148" spans="3:5" ht="13.2" x14ac:dyDescent="0.25">
      <c r="C148" s="160"/>
      <c r="D148" s="160"/>
      <c r="E148" s="160"/>
    </row>
    <row r="149" spans="3:5" ht="13.2" x14ac:dyDescent="0.25">
      <c r="C149" s="160"/>
      <c r="D149" s="160"/>
      <c r="E149" s="160"/>
    </row>
    <row r="150" spans="3:5" ht="13.2" x14ac:dyDescent="0.25">
      <c r="C150" s="160"/>
      <c r="D150" s="160"/>
      <c r="E150" s="160"/>
    </row>
    <row r="151" spans="3:5" ht="13.2" x14ac:dyDescent="0.25">
      <c r="C151" s="160"/>
      <c r="D151" s="160"/>
      <c r="E151" s="160"/>
    </row>
    <row r="152" spans="3:5" ht="13.2" x14ac:dyDescent="0.25">
      <c r="C152" s="160"/>
      <c r="D152" s="160"/>
      <c r="E152" s="160"/>
    </row>
    <row r="153" spans="3:5" ht="13.2" x14ac:dyDescent="0.25">
      <c r="C153" s="160"/>
      <c r="D153" s="160"/>
      <c r="E153" s="160"/>
    </row>
    <row r="154" spans="3:5" ht="13.2" x14ac:dyDescent="0.25">
      <c r="C154" s="160"/>
      <c r="D154" s="160"/>
      <c r="E154" s="160"/>
    </row>
    <row r="155" spans="3:5" ht="13.2" x14ac:dyDescent="0.25">
      <c r="C155" s="160"/>
      <c r="D155" s="160"/>
      <c r="E155" s="160"/>
    </row>
    <row r="156" spans="3:5" ht="13.2" x14ac:dyDescent="0.25">
      <c r="C156" s="160"/>
      <c r="D156" s="160"/>
      <c r="E156" s="160"/>
    </row>
    <row r="157" spans="3:5" ht="13.2" x14ac:dyDescent="0.25">
      <c r="C157" s="160"/>
      <c r="D157" s="160"/>
      <c r="E157" s="160"/>
    </row>
    <row r="158" spans="3:5" ht="13.2" x14ac:dyDescent="0.25">
      <c r="C158" s="160"/>
      <c r="D158" s="160"/>
      <c r="E158" s="160"/>
    </row>
    <row r="159" spans="3:5" ht="13.2" x14ac:dyDescent="0.25">
      <c r="C159" s="160"/>
      <c r="D159" s="160"/>
      <c r="E159" s="160"/>
    </row>
    <row r="160" spans="3:5" ht="13.2" x14ac:dyDescent="0.25">
      <c r="C160" s="160"/>
      <c r="D160" s="160"/>
      <c r="E160" s="160"/>
    </row>
    <row r="161" spans="3:5" ht="13.2" x14ac:dyDescent="0.25">
      <c r="C161" s="160"/>
      <c r="D161" s="160"/>
      <c r="E161" s="160"/>
    </row>
    <row r="162" spans="3:5" ht="13.2" x14ac:dyDescent="0.25">
      <c r="C162" s="160"/>
      <c r="D162" s="160"/>
      <c r="E162" s="160"/>
    </row>
    <row r="163" spans="3:5" ht="13.2" x14ac:dyDescent="0.25">
      <c r="C163" s="160"/>
      <c r="D163" s="160"/>
      <c r="E163" s="160"/>
    </row>
    <row r="164" spans="3:5" ht="13.2" x14ac:dyDescent="0.25">
      <c r="C164" s="160"/>
      <c r="D164" s="160"/>
      <c r="E164" s="160"/>
    </row>
    <row r="165" spans="3:5" ht="13.2" x14ac:dyDescent="0.25">
      <c r="C165" s="160"/>
      <c r="D165" s="160"/>
      <c r="E165" s="160"/>
    </row>
    <row r="166" spans="3:5" ht="13.2" x14ac:dyDescent="0.25">
      <c r="C166" s="160"/>
      <c r="D166" s="160"/>
      <c r="E166" s="160"/>
    </row>
    <row r="167" spans="3:5" ht="13.2" x14ac:dyDescent="0.25">
      <c r="C167" s="160"/>
      <c r="D167" s="160"/>
      <c r="E167" s="160"/>
    </row>
    <row r="168" spans="3:5" ht="13.2" x14ac:dyDescent="0.25">
      <c r="C168" s="160"/>
      <c r="D168" s="160"/>
      <c r="E168" s="160"/>
    </row>
    <row r="169" spans="3:5" ht="13.2" x14ac:dyDescent="0.25">
      <c r="C169" s="160"/>
      <c r="D169" s="160"/>
      <c r="E169" s="160"/>
    </row>
    <row r="170" spans="3:5" ht="13.2" x14ac:dyDescent="0.25">
      <c r="C170" s="160"/>
      <c r="D170" s="160"/>
      <c r="E170" s="160"/>
    </row>
    <row r="171" spans="3:5" ht="13.2" x14ac:dyDescent="0.25">
      <c r="C171" s="160"/>
      <c r="D171" s="160"/>
      <c r="E171" s="160"/>
    </row>
    <row r="172" spans="3:5" ht="13.2" x14ac:dyDescent="0.25">
      <c r="C172" s="160"/>
      <c r="D172" s="160"/>
      <c r="E172" s="160"/>
    </row>
    <row r="173" spans="3:5" ht="13.2" x14ac:dyDescent="0.25">
      <c r="C173" s="160"/>
      <c r="D173" s="160"/>
      <c r="E173" s="160"/>
    </row>
    <row r="174" spans="3:5" ht="13.2" x14ac:dyDescent="0.25">
      <c r="C174" s="160"/>
      <c r="D174" s="160"/>
      <c r="E174" s="160"/>
    </row>
    <row r="175" spans="3:5" ht="13.2" x14ac:dyDescent="0.25">
      <c r="C175" s="160"/>
      <c r="D175" s="160"/>
      <c r="E175" s="160"/>
    </row>
    <row r="176" spans="3:5" ht="13.2" x14ac:dyDescent="0.25">
      <c r="C176" s="160"/>
      <c r="D176" s="160"/>
      <c r="E176" s="160"/>
    </row>
    <row r="177" spans="3:5" ht="13.2" x14ac:dyDescent="0.25">
      <c r="C177" s="160"/>
      <c r="D177" s="160"/>
      <c r="E177" s="160"/>
    </row>
    <row r="178" spans="3:5" ht="13.2" x14ac:dyDescent="0.25">
      <c r="C178" s="160"/>
      <c r="D178" s="160"/>
      <c r="E178" s="160"/>
    </row>
    <row r="179" spans="3:5" ht="13.2" x14ac:dyDescent="0.25">
      <c r="C179" s="160"/>
      <c r="D179" s="160"/>
      <c r="E179" s="160"/>
    </row>
    <row r="180" spans="3:5" ht="13.2" x14ac:dyDescent="0.25">
      <c r="C180" s="160"/>
      <c r="D180" s="160"/>
      <c r="E180" s="160"/>
    </row>
    <row r="181" spans="3:5" ht="13.2" x14ac:dyDescent="0.25">
      <c r="C181" s="160"/>
      <c r="D181" s="160"/>
      <c r="E181" s="160"/>
    </row>
    <row r="182" spans="3:5" ht="13.2" x14ac:dyDescent="0.25">
      <c r="C182" s="160"/>
      <c r="D182" s="160"/>
      <c r="E182" s="160"/>
    </row>
    <row r="183" spans="3:5" ht="13.2" x14ac:dyDescent="0.25">
      <c r="C183" s="160"/>
      <c r="D183" s="160"/>
      <c r="E183" s="160"/>
    </row>
    <row r="184" spans="3:5" ht="13.2" x14ac:dyDescent="0.25">
      <c r="C184" s="160"/>
      <c r="D184" s="160"/>
      <c r="E184" s="160"/>
    </row>
    <row r="185" spans="3:5" ht="13.2" x14ac:dyDescent="0.25">
      <c r="C185" s="160"/>
      <c r="D185" s="160"/>
      <c r="E185" s="160"/>
    </row>
    <row r="186" spans="3:5" ht="13.2" x14ac:dyDescent="0.25">
      <c r="C186" s="160"/>
      <c r="D186" s="160"/>
      <c r="E186" s="160"/>
    </row>
    <row r="187" spans="3:5" ht="13.2" x14ac:dyDescent="0.25">
      <c r="C187" s="160"/>
      <c r="D187" s="160"/>
      <c r="E187" s="160"/>
    </row>
    <row r="188" spans="3:5" ht="13.2" x14ac:dyDescent="0.25">
      <c r="C188" s="160"/>
      <c r="D188" s="160"/>
      <c r="E188" s="160"/>
    </row>
    <row r="189" spans="3:5" ht="13.2" x14ac:dyDescent="0.25">
      <c r="C189" s="160"/>
      <c r="D189" s="160"/>
      <c r="E189" s="160"/>
    </row>
    <row r="190" spans="3:5" ht="13.2" x14ac:dyDescent="0.25">
      <c r="C190" s="160"/>
      <c r="D190" s="160"/>
      <c r="E190" s="160"/>
    </row>
    <row r="191" spans="3:5" ht="13.2" x14ac:dyDescent="0.25">
      <c r="C191" s="160"/>
      <c r="D191" s="160"/>
      <c r="E191" s="160"/>
    </row>
    <row r="192" spans="3:5" ht="13.2" x14ac:dyDescent="0.25">
      <c r="C192" s="160"/>
      <c r="D192" s="160"/>
      <c r="E192" s="160"/>
    </row>
    <row r="193" spans="3:5" ht="13.2" x14ac:dyDescent="0.25">
      <c r="C193" s="160"/>
      <c r="D193" s="160"/>
      <c r="E193" s="160"/>
    </row>
    <row r="194" spans="3:5" ht="13.2" x14ac:dyDescent="0.25">
      <c r="C194" s="160"/>
      <c r="D194" s="160"/>
      <c r="E194" s="160"/>
    </row>
    <row r="195" spans="3:5" ht="13.2" x14ac:dyDescent="0.25">
      <c r="C195" s="160"/>
      <c r="D195" s="160"/>
      <c r="E195" s="160"/>
    </row>
    <row r="196" spans="3:5" ht="13.2" x14ac:dyDescent="0.25">
      <c r="C196" s="160"/>
      <c r="D196" s="160"/>
      <c r="E196" s="160"/>
    </row>
    <row r="197" spans="3:5" ht="13.2" x14ac:dyDescent="0.25">
      <c r="C197" s="160"/>
      <c r="D197" s="160"/>
      <c r="E197" s="160"/>
    </row>
    <row r="198" spans="3:5" ht="13.2" x14ac:dyDescent="0.25">
      <c r="C198" s="160"/>
      <c r="D198" s="160"/>
      <c r="E198" s="160"/>
    </row>
    <row r="199" spans="3:5" ht="13.2" x14ac:dyDescent="0.25">
      <c r="C199" s="160"/>
      <c r="D199" s="160"/>
      <c r="E199" s="160"/>
    </row>
    <row r="200" spans="3:5" ht="13.2" x14ac:dyDescent="0.25">
      <c r="C200" s="160"/>
      <c r="D200" s="160"/>
      <c r="E200" s="160"/>
    </row>
    <row r="201" spans="3:5" ht="13.2" x14ac:dyDescent="0.25">
      <c r="C201" s="160"/>
      <c r="D201" s="160"/>
      <c r="E201" s="160"/>
    </row>
    <row r="202" spans="3:5" ht="13.2" x14ac:dyDescent="0.25">
      <c r="C202" s="160"/>
      <c r="D202" s="160"/>
      <c r="E202" s="160"/>
    </row>
    <row r="203" spans="3:5" ht="13.2" x14ac:dyDescent="0.25">
      <c r="C203" s="160"/>
      <c r="D203" s="160"/>
      <c r="E203" s="160"/>
    </row>
    <row r="204" spans="3:5" ht="13.2" x14ac:dyDescent="0.25">
      <c r="C204" s="160"/>
      <c r="D204" s="160"/>
      <c r="E204" s="160"/>
    </row>
    <row r="205" spans="3:5" ht="13.2" x14ac:dyDescent="0.25">
      <c r="C205" s="160"/>
      <c r="D205" s="160"/>
      <c r="E205" s="160"/>
    </row>
    <row r="206" spans="3:5" ht="13.2" x14ac:dyDescent="0.25">
      <c r="C206" s="160"/>
      <c r="D206" s="160"/>
      <c r="E206" s="160"/>
    </row>
    <row r="207" spans="3:5" ht="13.2" x14ac:dyDescent="0.25">
      <c r="C207" s="160"/>
      <c r="D207" s="160"/>
      <c r="E207" s="160"/>
    </row>
    <row r="208" spans="3:5" ht="13.2" x14ac:dyDescent="0.25">
      <c r="C208" s="160"/>
      <c r="D208" s="160"/>
      <c r="E208" s="160"/>
    </row>
    <row r="209" spans="3:5" ht="13.2" x14ac:dyDescent="0.25">
      <c r="C209" s="160"/>
      <c r="D209" s="160"/>
      <c r="E209" s="160"/>
    </row>
    <row r="210" spans="3:5" ht="13.2" x14ac:dyDescent="0.25">
      <c r="C210" s="160"/>
      <c r="D210" s="160"/>
      <c r="E210" s="160"/>
    </row>
    <row r="211" spans="3:5" ht="13.2" x14ac:dyDescent="0.25">
      <c r="C211" s="160"/>
      <c r="D211" s="160"/>
      <c r="E211" s="160"/>
    </row>
    <row r="212" spans="3:5" ht="13.2" x14ac:dyDescent="0.25">
      <c r="C212" s="160"/>
      <c r="D212" s="160"/>
      <c r="E212" s="160"/>
    </row>
    <row r="213" spans="3:5" ht="13.2" x14ac:dyDescent="0.25">
      <c r="C213" s="160"/>
      <c r="D213" s="160"/>
      <c r="E213" s="160"/>
    </row>
    <row r="214" spans="3:5" ht="13.2" x14ac:dyDescent="0.25">
      <c r="C214" s="160"/>
      <c r="D214" s="160"/>
      <c r="E214" s="160"/>
    </row>
    <row r="215" spans="3:5" ht="13.2" x14ac:dyDescent="0.25">
      <c r="C215" s="160"/>
      <c r="D215" s="160"/>
      <c r="E215" s="160"/>
    </row>
    <row r="216" spans="3:5" ht="13.2" x14ac:dyDescent="0.25">
      <c r="C216" s="160"/>
      <c r="D216" s="160"/>
      <c r="E216" s="160"/>
    </row>
    <row r="217" spans="3:5" ht="13.2" x14ac:dyDescent="0.25">
      <c r="C217" s="160"/>
      <c r="D217" s="160"/>
      <c r="E217" s="160"/>
    </row>
    <row r="218" spans="3:5" ht="13.2" x14ac:dyDescent="0.25">
      <c r="C218" s="160"/>
      <c r="D218" s="160"/>
      <c r="E218" s="160"/>
    </row>
    <row r="219" spans="3:5" ht="13.2" x14ac:dyDescent="0.25">
      <c r="C219" s="160"/>
      <c r="D219" s="160"/>
      <c r="E219" s="160"/>
    </row>
    <row r="220" spans="3:5" ht="13.2" x14ac:dyDescent="0.25">
      <c r="C220" s="160"/>
      <c r="D220" s="160"/>
      <c r="E220" s="160"/>
    </row>
    <row r="221" spans="3:5" ht="13.2" x14ac:dyDescent="0.25">
      <c r="C221" s="160"/>
      <c r="D221" s="160"/>
      <c r="E221" s="160"/>
    </row>
    <row r="222" spans="3:5" ht="13.2" x14ac:dyDescent="0.25">
      <c r="C222" s="160"/>
      <c r="D222" s="160"/>
      <c r="E222" s="160"/>
    </row>
    <row r="223" spans="3:5" ht="13.2" x14ac:dyDescent="0.25">
      <c r="C223" s="160"/>
      <c r="D223" s="160"/>
      <c r="E223" s="160"/>
    </row>
    <row r="224" spans="3:5" ht="13.2" x14ac:dyDescent="0.25">
      <c r="C224" s="160"/>
      <c r="D224" s="160"/>
      <c r="E224" s="160"/>
    </row>
    <row r="225" spans="3:5" ht="13.2" x14ac:dyDescent="0.25">
      <c r="C225" s="160"/>
      <c r="D225" s="160"/>
      <c r="E225" s="160"/>
    </row>
    <row r="226" spans="3:5" ht="13.2" x14ac:dyDescent="0.25">
      <c r="C226" s="160"/>
      <c r="D226" s="160"/>
      <c r="E226" s="160"/>
    </row>
    <row r="227" spans="3:5" ht="13.2" x14ac:dyDescent="0.25">
      <c r="C227" s="160"/>
      <c r="D227" s="160"/>
      <c r="E227" s="160"/>
    </row>
    <row r="228" spans="3:5" ht="13.2" x14ac:dyDescent="0.25">
      <c r="C228" s="160"/>
      <c r="D228" s="160"/>
      <c r="E228" s="160"/>
    </row>
    <row r="229" spans="3:5" ht="13.2" x14ac:dyDescent="0.25">
      <c r="C229" s="160"/>
      <c r="D229" s="160"/>
      <c r="E229" s="160"/>
    </row>
    <row r="230" spans="3:5" ht="13.2" x14ac:dyDescent="0.25">
      <c r="C230" s="160"/>
      <c r="D230" s="160"/>
      <c r="E230" s="160"/>
    </row>
    <row r="231" spans="3:5" ht="13.2" x14ac:dyDescent="0.25">
      <c r="C231" s="160"/>
      <c r="D231" s="160"/>
      <c r="E231" s="160"/>
    </row>
    <row r="232" spans="3:5" ht="13.2" x14ac:dyDescent="0.25">
      <c r="C232" s="160"/>
      <c r="D232" s="160"/>
      <c r="E232" s="160"/>
    </row>
    <row r="233" spans="3:5" ht="13.2" x14ac:dyDescent="0.25">
      <c r="C233" s="160"/>
      <c r="D233" s="160"/>
      <c r="E233" s="160"/>
    </row>
    <row r="234" spans="3:5" ht="13.2" x14ac:dyDescent="0.25">
      <c r="C234" s="160"/>
      <c r="D234" s="160"/>
      <c r="E234" s="160"/>
    </row>
    <row r="235" spans="3:5" ht="13.2" x14ac:dyDescent="0.25">
      <c r="C235" s="160"/>
      <c r="D235" s="160"/>
      <c r="E235" s="160"/>
    </row>
    <row r="236" spans="3:5" ht="13.2" x14ac:dyDescent="0.25">
      <c r="C236" s="160"/>
      <c r="D236" s="160"/>
      <c r="E236" s="160"/>
    </row>
    <row r="237" spans="3:5" ht="13.2" x14ac:dyDescent="0.25">
      <c r="C237" s="160"/>
      <c r="D237" s="160"/>
      <c r="E237" s="160"/>
    </row>
    <row r="238" spans="3:5" ht="13.2" x14ac:dyDescent="0.25">
      <c r="C238" s="160"/>
      <c r="D238" s="160"/>
      <c r="E238" s="160"/>
    </row>
    <row r="239" spans="3:5" ht="13.2" x14ac:dyDescent="0.25">
      <c r="C239" s="160"/>
      <c r="D239" s="160"/>
      <c r="E239" s="160"/>
    </row>
    <row r="240" spans="3:5" ht="13.2" x14ac:dyDescent="0.25">
      <c r="C240" s="160"/>
      <c r="D240" s="160"/>
      <c r="E240" s="160"/>
    </row>
    <row r="241" spans="3:5" ht="13.2" x14ac:dyDescent="0.25">
      <c r="C241" s="160"/>
      <c r="D241" s="160"/>
      <c r="E241" s="160"/>
    </row>
    <row r="242" spans="3:5" ht="13.2" x14ac:dyDescent="0.25">
      <c r="C242" s="160"/>
      <c r="D242" s="160"/>
      <c r="E242" s="160"/>
    </row>
    <row r="243" spans="3:5" ht="13.2" x14ac:dyDescent="0.25">
      <c r="C243" s="160"/>
      <c r="D243" s="160"/>
      <c r="E243" s="160"/>
    </row>
    <row r="244" spans="3:5" ht="13.2" x14ac:dyDescent="0.25">
      <c r="C244" s="160"/>
      <c r="D244" s="160"/>
      <c r="E244" s="160"/>
    </row>
    <row r="245" spans="3:5" ht="13.2" x14ac:dyDescent="0.25">
      <c r="C245" s="160"/>
      <c r="D245" s="160"/>
      <c r="E245" s="160"/>
    </row>
    <row r="246" spans="3:5" ht="13.2" x14ac:dyDescent="0.25">
      <c r="C246" s="160"/>
      <c r="D246" s="160"/>
      <c r="E246" s="160"/>
    </row>
    <row r="247" spans="3:5" ht="13.2" x14ac:dyDescent="0.25">
      <c r="C247" s="160"/>
      <c r="D247" s="160"/>
      <c r="E247" s="160"/>
    </row>
    <row r="248" spans="3:5" ht="13.2" x14ac:dyDescent="0.25">
      <c r="C248" s="160"/>
      <c r="D248" s="160"/>
      <c r="E248" s="160"/>
    </row>
    <row r="249" spans="3:5" ht="13.2" x14ac:dyDescent="0.25">
      <c r="C249" s="160"/>
      <c r="D249" s="160"/>
      <c r="E249" s="160"/>
    </row>
    <row r="250" spans="3:5" ht="13.2" x14ac:dyDescent="0.25">
      <c r="C250" s="160"/>
      <c r="D250" s="160"/>
      <c r="E250" s="160"/>
    </row>
    <row r="251" spans="3:5" ht="13.2" x14ac:dyDescent="0.25">
      <c r="C251" s="160"/>
      <c r="D251" s="160"/>
      <c r="E251" s="160"/>
    </row>
    <row r="252" spans="3:5" ht="13.2" x14ac:dyDescent="0.25">
      <c r="C252" s="160"/>
      <c r="D252" s="160"/>
      <c r="E252" s="160"/>
    </row>
    <row r="253" spans="3:5" ht="13.2" x14ac:dyDescent="0.25">
      <c r="C253" s="160"/>
      <c r="D253" s="160"/>
      <c r="E253" s="160"/>
    </row>
    <row r="254" spans="3:5" ht="13.2" x14ac:dyDescent="0.25">
      <c r="C254" s="160"/>
      <c r="D254" s="160"/>
      <c r="E254" s="160"/>
    </row>
    <row r="255" spans="3:5" ht="13.2" x14ac:dyDescent="0.25">
      <c r="C255" s="160"/>
      <c r="D255" s="160"/>
      <c r="E255" s="160"/>
    </row>
    <row r="256" spans="3:5" ht="13.2" x14ac:dyDescent="0.25">
      <c r="C256" s="160"/>
      <c r="D256" s="160"/>
      <c r="E256" s="160"/>
    </row>
    <row r="257" spans="3:5" ht="13.2" x14ac:dyDescent="0.25">
      <c r="C257" s="160"/>
      <c r="D257" s="160"/>
      <c r="E257" s="160"/>
    </row>
    <row r="258" spans="3:5" ht="13.2" x14ac:dyDescent="0.25">
      <c r="C258" s="160"/>
      <c r="D258" s="160"/>
      <c r="E258" s="160"/>
    </row>
    <row r="259" spans="3:5" ht="13.2" x14ac:dyDescent="0.25">
      <c r="C259" s="160"/>
      <c r="D259" s="160"/>
      <c r="E259" s="160"/>
    </row>
    <row r="260" spans="3:5" ht="13.2" x14ac:dyDescent="0.25">
      <c r="C260" s="160"/>
      <c r="D260" s="160"/>
      <c r="E260" s="160"/>
    </row>
    <row r="261" spans="3:5" ht="13.2" x14ac:dyDescent="0.25">
      <c r="C261" s="160"/>
      <c r="D261" s="160"/>
      <c r="E261" s="160"/>
    </row>
    <row r="262" spans="3:5" ht="13.2" x14ac:dyDescent="0.25">
      <c r="C262" s="160"/>
      <c r="D262" s="160"/>
      <c r="E262" s="160"/>
    </row>
    <row r="263" spans="3:5" ht="13.2" x14ac:dyDescent="0.25">
      <c r="C263" s="160"/>
      <c r="D263" s="160"/>
      <c r="E263" s="160"/>
    </row>
    <row r="264" spans="3:5" ht="13.2" x14ac:dyDescent="0.25">
      <c r="C264" s="160"/>
      <c r="D264" s="160"/>
      <c r="E264" s="160"/>
    </row>
    <row r="265" spans="3:5" ht="13.2" x14ac:dyDescent="0.25">
      <c r="C265" s="160"/>
      <c r="D265" s="160"/>
      <c r="E265" s="160"/>
    </row>
    <row r="266" spans="3:5" ht="13.2" x14ac:dyDescent="0.25">
      <c r="C266" s="160"/>
      <c r="D266" s="160"/>
      <c r="E266" s="160"/>
    </row>
    <row r="267" spans="3:5" ht="13.2" x14ac:dyDescent="0.25">
      <c r="C267" s="160"/>
      <c r="D267" s="160"/>
      <c r="E267" s="160"/>
    </row>
    <row r="268" spans="3:5" ht="13.2" x14ac:dyDescent="0.25">
      <c r="C268" s="160"/>
      <c r="D268" s="160"/>
      <c r="E268" s="160"/>
    </row>
    <row r="269" spans="3:5" ht="13.2" x14ac:dyDescent="0.25">
      <c r="C269" s="160"/>
      <c r="D269" s="160"/>
      <c r="E269" s="160"/>
    </row>
    <row r="270" spans="3:5" ht="13.2" x14ac:dyDescent="0.25">
      <c r="C270" s="160"/>
      <c r="D270" s="160"/>
      <c r="E270" s="160"/>
    </row>
    <row r="271" spans="3:5" ht="13.2" x14ac:dyDescent="0.25">
      <c r="C271" s="160"/>
      <c r="D271" s="160"/>
      <c r="E271" s="160"/>
    </row>
    <row r="272" spans="3:5" ht="13.2" x14ac:dyDescent="0.25">
      <c r="C272" s="160"/>
      <c r="D272" s="160"/>
      <c r="E272" s="160"/>
    </row>
    <row r="273" spans="3:5" ht="13.2" x14ac:dyDescent="0.25">
      <c r="C273" s="160"/>
      <c r="D273" s="160"/>
      <c r="E273" s="160"/>
    </row>
    <row r="274" spans="3:5" ht="13.2" x14ac:dyDescent="0.25">
      <c r="C274" s="160"/>
      <c r="D274" s="160"/>
      <c r="E274" s="160"/>
    </row>
    <row r="275" spans="3:5" ht="13.2" x14ac:dyDescent="0.25">
      <c r="C275" s="160"/>
      <c r="D275" s="160"/>
      <c r="E275" s="160"/>
    </row>
    <row r="276" spans="3:5" ht="13.2" x14ac:dyDescent="0.25">
      <c r="C276" s="160"/>
      <c r="D276" s="160"/>
      <c r="E276" s="160"/>
    </row>
    <row r="277" spans="3:5" ht="13.2" x14ac:dyDescent="0.25">
      <c r="C277" s="160"/>
      <c r="D277" s="160"/>
      <c r="E277" s="160"/>
    </row>
    <row r="278" spans="3:5" ht="13.2" x14ac:dyDescent="0.25">
      <c r="C278" s="160"/>
      <c r="D278" s="160"/>
      <c r="E278" s="160"/>
    </row>
    <row r="279" spans="3:5" ht="13.2" x14ac:dyDescent="0.25">
      <c r="C279" s="160"/>
      <c r="D279" s="160"/>
      <c r="E279" s="160"/>
    </row>
    <row r="280" spans="3:5" ht="13.2" x14ac:dyDescent="0.25">
      <c r="C280" s="160"/>
      <c r="D280" s="160"/>
      <c r="E280" s="160"/>
    </row>
    <row r="281" spans="3:5" ht="13.2" x14ac:dyDescent="0.25">
      <c r="C281" s="160"/>
      <c r="D281" s="160"/>
      <c r="E281" s="160"/>
    </row>
    <row r="282" spans="3:5" ht="13.2" x14ac:dyDescent="0.25">
      <c r="C282" s="160"/>
      <c r="D282" s="160"/>
      <c r="E282" s="160"/>
    </row>
    <row r="283" spans="3:5" ht="13.2" x14ac:dyDescent="0.25">
      <c r="C283" s="160"/>
      <c r="D283" s="160"/>
      <c r="E283" s="160"/>
    </row>
    <row r="284" spans="3:5" ht="13.2" x14ac:dyDescent="0.25">
      <c r="C284" s="160"/>
      <c r="D284" s="160"/>
      <c r="E284" s="160"/>
    </row>
    <row r="285" spans="3:5" ht="13.2" x14ac:dyDescent="0.25">
      <c r="C285" s="160"/>
      <c r="D285" s="160"/>
      <c r="E285" s="160"/>
    </row>
    <row r="286" spans="3:5" ht="13.2" x14ac:dyDescent="0.25">
      <c r="C286" s="160"/>
      <c r="D286" s="160"/>
      <c r="E286" s="160"/>
    </row>
    <row r="287" spans="3:5" ht="13.2" x14ac:dyDescent="0.25">
      <c r="C287" s="160"/>
      <c r="D287" s="160"/>
      <c r="E287" s="160"/>
    </row>
    <row r="288" spans="3:5" ht="13.2" x14ac:dyDescent="0.25">
      <c r="C288" s="160"/>
      <c r="D288" s="160"/>
      <c r="E288" s="160"/>
    </row>
    <row r="289" spans="3:5" ht="13.2" x14ac:dyDescent="0.25">
      <c r="C289" s="160"/>
      <c r="D289" s="160"/>
      <c r="E289" s="160"/>
    </row>
    <row r="290" spans="3:5" ht="13.2" x14ac:dyDescent="0.25">
      <c r="C290" s="160"/>
      <c r="D290" s="160"/>
      <c r="E290" s="160"/>
    </row>
    <row r="291" spans="3:5" ht="13.2" x14ac:dyDescent="0.25">
      <c r="C291" s="160"/>
      <c r="D291" s="160"/>
      <c r="E291" s="160"/>
    </row>
    <row r="292" spans="3:5" ht="13.2" x14ac:dyDescent="0.25">
      <c r="C292" s="160"/>
      <c r="D292" s="160"/>
      <c r="E292" s="160"/>
    </row>
    <row r="293" spans="3:5" ht="13.2" x14ac:dyDescent="0.25">
      <c r="C293" s="160"/>
      <c r="D293" s="160"/>
      <c r="E293" s="160"/>
    </row>
    <row r="294" spans="3:5" ht="13.2" x14ac:dyDescent="0.25">
      <c r="C294" s="160"/>
      <c r="D294" s="160"/>
      <c r="E294" s="160"/>
    </row>
    <row r="295" spans="3:5" ht="13.2" x14ac:dyDescent="0.25">
      <c r="C295" s="160"/>
      <c r="D295" s="160"/>
      <c r="E295" s="160"/>
    </row>
    <row r="296" spans="3:5" ht="13.2" x14ac:dyDescent="0.25">
      <c r="C296" s="160"/>
      <c r="D296" s="160"/>
      <c r="E296" s="160"/>
    </row>
    <row r="297" spans="3:5" ht="13.2" x14ac:dyDescent="0.25">
      <c r="C297" s="160"/>
      <c r="D297" s="160"/>
      <c r="E297" s="160"/>
    </row>
    <row r="298" spans="3:5" ht="13.2" x14ac:dyDescent="0.25">
      <c r="C298" s="160"/>
      <c r="D298" s="160"/>
      <c r="E298" s="160"/>
    </row>
    <row r="299" spans="3:5" ht="13.2" x14ac:dyDescent="0.25">
      <c r="C299" s="160"/>
      <c r="D299" s="160"/>
      <c r="E299" s="160"/>
    </row>
    <row r="300" spans="3:5" ht="13.2" x14ac:dyDescent="0.25">
      <c r="C300" s="160"/>
      <c r="D300" s="160"/>
      <c r="E300" s="160"/>
    </row>
    <row r="301" spans="3:5" ht="13.2" x14ac:dyDescent="0.25">
      <c r="C301" s="160"/>
      <c r="D301" s="160"/>
      <c r="E301" s="160"/>
    </row>
    <row r="302" spans="3:5" ht="13.2" x14ac:dyDescent="0.25">
      <c r="C302" s="160"/>
      <c r="D302" s="160"/>
      <c r="E302" s="160"/>
    </row>
    <row r="303" spans="3:5" ht="13.2" x14ac:dyDescent="0.25">
      <c r="C303" s="160"/>
      <c r="D303" s="160"/>
      <c r="E303" s="160"/>
    </row>
    <row r="304" spans="3:5" ht="13.2" x14ac:dyDescent="0.25">
      <c r="C304" s="160"/>
      <c r="D304" s="160"/>
      <c r="E304" s="160"/>
    </row>
    <row r="305" spans="3:5" ht="13.2" x14ac:dyDescent="0.25">
      <c r="C305" s="160"/>
      <c r="D305" s="160"/>
      <c r="E305" s="160"/>
    </row>
    <row r="306" spans="3:5" ht="13.2" x14ac:dyDescent="0.25">
      <c r="C306" s="160"/>
      <c r="D306" s="160"/>
      <c r="E306" s="160"/>
    </row>
    <row r="307" spans="3:5" ht="13.2" x14ac:dyDescent="0.25">
      <c r="C307" s="160"/>
      <c r="D307" s="160"/>
      <c r="E307" s="160"/>
    </row>
    <row r="308" spans="3:5" ht="13.2" x14ac:dyDescent="0.25">
      <c r="C308" s="160"/>
      <c r="D308" s="160"/>
      <c r="E308" s="160"/>
    </row>
    <row r="309" spans="3:5" ht="13.2" x14ac:dyDescent="0.25">
      <c r="C309" s="160"/>
      <c r="D309" s="160"/>
      <c r="E309" s="160"/>
    </row>
    <row r="310" spans="3:5" ht="13.2" x14ac:dyDescent="0.25">
      <c r="C310" s="160"/>
      <c r="D310" s="160"/>
      <c r="E310" s="160"/>
    </row>
    <row r="311" spans="3:5" ht="13.2" x14ac:dyDescent="0.25">
      <c r="C311" s="160"/>
      <c r="D311" s="160"/>
      <c r="E311" s="160"/>
    </row>
    <row r="312" spans="3:5" ht="13.2" x14ac:dyDescent="0.25">
      <c r="C312" s="160"/>
      <c r="D312" s="160"/>
      <c r="E312" s="160"/>
    </row>
    <row r="313" spans="3:5" ht="13.2" x14ac:dyDescent="0.25">
      <c r="C313" s="160"/>
      <c r="D313" s="160"/>
      <c r="E313" s="160"/>
    </row>
    <row r="314" spans="3:5" ht="13.2" x14ac:dyDescent="0.25">
      <c r="C314" s="160"/>
      <c r="D314" s="160"/>
      <c r="E314" s="160"/>
    </row>
    <row r="315" spans="3:5" ht="13.2" x14ac:dyDescent="0.25">
      <c r="C315" s="160"/>
      <c r="D315" s="160"/>
      <c r="E315" s="160"/>
    </row>
    <row r="316" spans="3:5" ht="13.2" x14ac:dyDescent="0.25">
      <c r="C316" s="160"/>
      <c r="D316" s="160"/>
      <c r="E316" s="160"/>
    </row>
    <row r="317" spans="3:5" ht="13.2" x14ac:dyDescent="0.25">
      <c r="C317" s="160"/>
      <c r="D317" s="160"/>
      <c r="E317" s="160"/>
    </row>
    <row r="318" spans="3:5" ht="13.2" x14ac:dyDescent="0.25">
      <c r="C318" s="160"/>
      <c r="D318" s="160"/>
      <c r="E318" s="160"/>
    </row>
    <row r="319" spans="3:5" ht="13.2" x14ac:dyDescent="0.25">
      <c r="C319" s="160"/>
      <c r="D319" s="160"/>
      <c r="E319" s="160"/>
    </row>
    <row r="320" spans="3:5" ht="13.2" x14ac:dyDescent="0.25">
      <c r="C320" s="160"/>
      <c r="D320" s="160"/>
      <c r="E320" s="160"/>
    </row>
    <row r="321" spans="3:5" ht="13.2" x14ac:dyDescent="0.25">
      <c r="C321" s="160"/>
      <c r="D321" s="160"/>
      <c r="E321" s="160"/>
    </row>
    <row r="322" spans="3:5" ht="13.2" x14ac:dyDescent="0.25">
      <c r="C322" s="160"/>
      <c r="D322" s="160"/>
      <c r="E322" s="160"/>
    </row>
    <row r="323" spans="3:5" ht="13.2" x14ac:dyDescent="0.25">
      <c r="C323" s="160"/>
      <c r="D323" s="160"/>
      <c r="E323" s="160"/>
    </row>
    <row r="324" spans="3:5" ht="13.2" x14ac:dyDescent="0.25">
      <c r="C324" s="160"/>
      <c r="D324" s="160"/>
      <c r="E324" s="160"/>
    </row>
    <row r="325" spans="3:5" ht="13.2" x14ac:dyDescent="0.25">
      <c r="C325" s="160"/>
      <c r="D325" s="160"/>
      <c r="E325" s="160"/>
    </row>
    <row r="326" spans="3:5" ht="13.2" x14ac:dyDescent="0.25">
      <c r="C326" s="160"/>
      <c r="D326" s="160"/>
      <c r="E326" s="160"/>
    </row>
    <row r="327" spans="3:5" ht="13.2" x14ac:dyDescent="0.25">
      <c r="C327" s="160"/>
      <c r="D327" s="160"/>
      <c r="E327" s="160"/>
    </row>
    <row r="328" spans="3:5" ht="13.2" x14ac:dyDescent="0.25">
      <c r="C328" s="160"/>
      <c r="D328" s="160"/>
      <c r="E328" s="160"/>
    </row>
    <row r="329" spans="3:5" ht="13.2" x14ac:dyDescent="0.25">
      <c r="C329" s="160"/>
      <c r="D329" s="160"/>
      <c r="E329" s="160"/>
    </row>
    <row r="330" spans="3:5" ht="13.2" x14ac:dyDescent="0.25">
      <c r="C330" s="160"/>
      <c r="D330" s="160"/>
      <c r="E330" s="160"/>
    </row>
    <row r="331" spans="3:5" ht="13.2" x14ac:dyDescent="0.25">
      <c r="C331" s="160"/>
      <c r="D331" s="160"/>
      <c r="E331" s="160"/>
    </row>
    <row r="332" spans="3:5" ht="13.2" x14ac:dyDescent="0.25">
      <c r="C332" s="160"/>
      <c r="D332" s="160"/>
      <c r="E332" s="160"/>
    </row>
    <row r="333" spans="3:5" ht="13.2" x14ac:dyDescent="0.25">
      <c r="C333" s="160"/>
      <c r="D333" s="160"/>
      <c r="E333" s="160"/>
    </row>
    <row r="334" spans="3:5" ht="13.2" x14ac:dyDescent="0.25">
      <c r="C334" s="160"/>
      <c r="D334" s="160"/>
      <c r="E334" s="160"/>
    </row>
    <row r="335" spans="3:5" ht="13.2" x14ac:dyDescent="0.25">
      <c r="C335" s="160"/>
      <c r="D335" s="160"/>
      <c r="E335" s="160"/>
    </row>
    <row r="336" spans="3:5" ht="13.2" x14ac:dyDescent="0.25">
      <c r="C336" s="160"/>
      <c r="D336" s="160"/>
      <c r="E336" s="160"/>
    </row>
    <row r="337" spans="3:5" ht="13.2" x14ac:dyDescent="0.25">
      <c r="C337" s="160"/>
      <c r="D337" s="160"/>
      <c r="E337" s="160"/>
    </row>
    <row r="338" spans="3:5" ht="13.2" x14ac:dyDescent="0.25">
      <c r="C338" s="160"/>
      <c r="D338" s="160"/>
      <c r="E338" s="160"/>
    </row>
    <row r="339" spans="3:5" ht="13.2" x14ac:dyDescent="0.25">
      <c r="C339" s="160"/>
      <c r="D339" s="160"/>
      <c r="E339" s="160"/>
    </row>
    <row r="340" spans="3:5" ht="13.2" x14ac:dyDescent="0.25">
      <c r="C340" s="160"/>
      <c r="D340" s="160"/>
      <c r="E340" s="160"/>
    </row>
    <row r="341" spans="3:5" ht="13.2" x14ac:dyDescent="0.25">
      <c r="C341" s="160"/>
      <c r="D341" s="160"/>
      <c r="E341" s="160"/>
    </row>
    <row r="342" spans="3:5" ht="13.2" x14ac:dyDescent="0.25">
      <c r="C342" s="160"/>
      <c r="D342" s="160"/>
      <c r="E342" s="160"/>
    </row>
    <row r="343" spans="3:5" ht="13.2" x14ac:dyDescent="0.25">
      <c r="C343" s="160"/>
      <c r="D343" s="160"/>
      <c r="E343" s="160"/>
    </row>
    <row r="344" spans="3:5" ht="13.2" x14ac:dyDescent="0.25">
      <c r="C344" s="160"/>
      <c r="D344" s="160"/>
      <c r="E344" s="160"/>
    </row>
    <row r="345" spans="3:5" ht="13.2" x14ac:dyDescent="0.25">
      <c r="C345" s="160"/>
      <c r="D345" s="160"/>
      <c r="E345" s="160"/>
    </row>
    <row r="346" spans="3:5" ht="13.2" x14ac:dyDescent="0.25">
      <c r="C346" s="160"/>
      <c r="D346" s="160"/>
      <c r="E346" s="160"/>
    </row>
    <row r="347" spans="3:5" ht="13.2" x14ac:dyDescent="0.25">
      <c r="C347" s="160"/>
      <c r="D347" s="160"/>
      <c r="E347" s="160"/>
    </row>
    <row r="348" spans="3:5" ht="13.2" x14ac:dyDescent="0.25">
      <c r="C348" s="160"/>
      <c r="D348" s="160"/>
      <c r="E348" s="160"/>
    </row>
    <row r="349" spans="3:5" ht="13.2" x14ac:dyDescent="0.25">
      <c r="C349" s="160"/>
      <c r="D349" s="160"/>
      <c r="E349" s="160"/>
    </row>
    <row r="350" spans="3:5" ht="13.2" x14ac:dyDescent="0.25">
      <c r="C350" s="160"/>
      <c r="D350" s="160"/>
      <c r="E350" s="160"/>
    </row>
    <row r="351" spans="3:5" ht="13.2" x14ac:dyDescent="0.25">
      <c r="C351" s="160"/>
      <c r="D351" s="160"/>
      <c r="E351" s="160"/>
    </row>
    <row r="352" spans="3:5" ht="13.2" x14ac:dyDescent="0.25">
      <c r="C352" s="160"/>
      <c r="D352" s="160"/>
      <c r="E352" s="160"/>
    </row>
    <row r="353" spans="3:5" ht="13.2" x14ac:dyDescent="0.25">
      <c r="C353" s="160"/>
      <c r="D353" s="160"/>
      <c r="E353" s="160"/>
    </row>
    <row r="354" spans="3:5" ht="13.2" x14ac:dyDescent="0.25">
      <c r="C354" s="160"/>
      <c r="D354" s="160"/>
      <c r="E354" s="160"/>
    </row>
    <row r="355" spans="3:5" ht="13.2" x14ac:dyDescent="0.25">
      <c r="C355" s="160"/>
      <c r="D355" s="160"/>
      <c r="E355" s="160"/>
    </row>
    <row r="356" spans="3:5" ht="13.2" x14ac:dyDescent="0.25">
      <c r="C356" s="160"/>
      <c r="D356" s="160"/>
      <c r="E356" s="160"/>
    </row>
    <row r="357" spans="3:5" ht="13.2" x14ac:dyDescent="0.25">
      <c r="C357" s="160"/>
      <c r="D357" s="160"/>
      <c r="E357" s="160"/>
    </row>
    <row r="358" spans="3:5" ht="13.2" x14ac:dyDescent="0.25">
      <c r="C358" s="160"/>
      <c r="D358" s="160"/>
      <c r="E358" s="160"/>
    </row>
    <row r="359" spans="3:5" ht="13.2" x14ac:dyDescent="0.25">
      <c r="C359" s="160"/>
      <c r="D359" s="160"/>
      <c r="E359" s="160"/>
    </row>
    <row r="360" spans="3:5" ht="13.2" x14ac:dyDescent="0.25">
      <c r="C360" s="160"/>
      <c r="D360" s="160"/>
      <c r="E360" s="160"/>
    </row>
    <row r="361" spans="3:5" ht="13.2" x14ac:dyDescent="0.25">
      <c r="C361" s="160"/>
      <c r="D361" s="160"/>
      <c r="E361" s="160"/>
    </row>
    <row r="362" spans="3:5" ht="13.2" x14ac:dyDescent="0.25">
      <c r="C362" s="160"/>
      <c r="D362" s="160"/>
      <c r="E362" s="160"/>
    </row>
    <row r="363" spans="3:5" ht="13.2" x14ac:dyDescent="0.25">
      <c r="C363" s="160"/>
      <c r="D363" s="160"/>
      <c r="E363" s="160"/>
    </row>
    <row r="364" spans="3:5" ht="13.2" x14ac:dyDescent="0.25">
      <c r="C364" s="160"/>
      <c r="D364" s="160"/>
      <c r="E364" s="160"/>
    </row>
    <row r="365" spans="3:5" ht="13.2" x14ac:dyDescent="0.25">
      <c r="C365" s="160"/>
      <c r="D365" s="160"/>
      <c r="E365" s="160"/>
    </row>
    <row r="366" spans="3:5" ht="13.2" x14ac:dyDescent="0.25">
      <c r="C366" s="160"/>
      <c r="D366" s="160"/>
      <c r="E366" s="160"/>
    </row>
    <row r="367" spans="3:5" ht="13.2" x14ac:dyDescent="0.25">
      <c r="C367" s="160"/>
      <c r="D367" s="160"/>
      <c r="E367" s="160"/>
    </row>
    <row r="368" spans="3:5" ht="13.2" x14ac:dyDescent="0.25">
      <c r="C368" s="160"/>
      <c r="D368" s="160"/>
      <c r="E368" s="160"/>
    </row>
    <row r="369" spans="3:5" ht="13.2" x14ac:dyDescent="0.25">
      <c r="C369" s="160"/>
      <c r="D369" s="160"/>
      <c r="E369" s="160"/>
    </row>
    <row r="370" spans="3:5" ht="13.2" x14ac:dyDescent="0.25">
      <c r="C370" s="160"/>
      <c r="D370" s="160"/>
      <c r="E370" s="160"/>
    </row>
    <row r="371" spans="3:5" ht="13.2" x14ac:dyDescent="0.25">
      <c r="C371" s="160"/>
      <c r="D371" s="160"/>
      <c r="E371" s="160"/>
    </row>
    <row r="372" spans="3:5" ht="13.2" x14ac:dyDescent="0.25">
      <c r="C372" s="160"/>
      <c r="D372" s="160"/>
      <c r="E372" s="160"/>
    </row>
    <row r="373" spans="3:5" ht="13.2" x14ac:dyDescent="0.25">
      <c r="C373" s="160"/>
      <c r="D373" s="160"/>
      <c r="E373" s="160"/>
    </row>
    <row r="374" spans="3:5" ht="13.2" x14ac:dyDescent="0.25">
      <c r="C374" s="160"/>
      <c r="D374" s="160"/>
      <c r="E374" s="160"/>
    </row>
    <row r="375" spans="3:5" ht="13.2" x14ac:dyDescent="0.25">
      <c r="C375" s="160"/>
      <c r="D375" s="160"/>
      <c r="E375" s="160"/>
    </row>
    <row r="376" spans="3:5" ht="13.2" x14ac:dyDescent="0.25">
      <c r="C376" s="160"/>
      <c r="D376" s="160"/>
      <c r="E376" s="160"/>
    </row>
    <row r="377" spans="3:5" ht="13.2" x14ac:dyDescent="0.25">
      <c r="C377" s="160"/>
      <c r="D377" s="160"/>
      <c r="E377" s="160"/>
    </row>
    <row r="378" spans="3:5" ht="13.2" x14ac:dyDescent="0.25">
      <c r="C378" s="160"/>
      <c r="D378" s="160"/>
      <c r="E378" s="160"/>
    </row>
    <row r="379" spans="3:5" ht="13.2" x14ac:dyDescent="0.25">
      <c r="C379" s="160"/>
      <c r="D379" s="160"/>
      <c r="E379" s="160"/>
    </row>
    <row r="380" spans="3:5" ht="13.2" x14ac:dyDescent="0.25">
      <c r="C380" s="160"/>
      <c r="D380" s="160"/>
      <c r="E380" s="160"/>
    </row>
    <row r="381" spans="3:5" ht="13.2" x14ac:dyDescent="0.25">
      <c r="C381" s="160"/>
      <c r="D381" s="160"/>
      <c r="E381" s="160"/>
    </row>
    <row r="382" spans="3:5" ht="13.2" x14ac:dyDescent="0.25">
      <c r="C382" s="160"/>
      <c r="D382" s="160"/>
      <c r="E382" s="160"/>
    </row>
    <row r="383" spans="3:5" ht="13.2" x14ac:dyDescent="0.25">
      <c r="C383" s="160"/>
      <c r="D383" s="160"/>
      <c r="E383" s="160"/>
    </row>
    <row r="384" spans="3:5" ht="13.2" x14ac:dyDescent="0.25">
      <c r="C384" s="160"/>
      <c r="D384" s="160"/>
      <c r="E384" s="160"/>
    </row>
    <row r="385" spans="3:5" ht="13.2" x14ac:dyDescent="0.25">
      <c r="C385" s="160"/>
      <c r="D385" s="160"/>
      <c r="E385" s="160"/>
    </row>
    <row r="386" spans="3:5" ht="13.2" x14ac:dyDescent="0.25">
      <c r="C386" s="160"/>
      <c r="D386" s="160"/>
      <c r="E386" s="160"/>
    </row>
    <row r="387" spans="3:5" ht="13.2" x14ac:dyDescent="0.25">
      <c r="C387" s="160"/>
      <c r="D387" s="160"/>
      <c r="E387" s="160"/>
    </row>
    <row r="388" spans="3:5" ht="13.2" x14ac:dyDescent="0.25">
      <c r="C388" s="160"/>
      <c r="D388" s="160"/>
      <c r="E388" s="160"/>
    </row>
    <row r="389" spans="3:5" ht="13.2" x14ac:dyDescent="0.25">
      <c r="C389" s="160"/>
      <c r="D389" s="160"/>
      <c r="E389" s="160"/>
    </row>
    <row r="390" spans="3:5" ht="13.2" x14ac:dyDescent="0.25">
      <c r="C390" s="160"/>
      <c r="D390" s="160"/>
      <c r="E390" s="160"/>
    </row>
    <row r="391" spans="3:5" ht="13.2" x14ac:dyDescent="0.25">
      <c r="C391" s="160"/>
      <c r="D391" s="160"/>
      <c r="E391" s="160"/>
    </row>
    <row r="392" spans="3:5" ht="13.2" x14ac:dyDescent="0.25">
      <c r="C392" s="160"/>
      <c r="D392" s="160"/>
      <c r="E392" s="160"/>
    </row>
    <row r="393" spans="3:5" ht="13.2" x14ac:dyDescent="0.25">
      <c r="C393" s="160"/>
      <c r="D393" s="160"/>
      <c r="E393" s="160"/>
    </row>
    <row r="394" spans="3:5" ht="13.2" x14ac:dyDescent="0.25">
      <c r="C394" s="160"/>
      <c r="D394" s="160"/>
      <c r="E394" s="160"/>
    </row>
    <row r="395" spans="3:5" ht="13.2" x14ac:dyDescent="0.25">
      <c r="C395" s="160"/>
      <c r="D395" s="160"/>
      <c r="E395" s="160"/>
    </row>
    <row r="396" spans="3:5" ht="13.2" x14ac:dyDescent="0.25">
      <c r="C396" s="160"/>
      <c r="D396" s="160"/>
      <c r="E396" s="160"/>
    </row>
    <row r="397" spans="3:5" ht="13.2" x14ac:dyDescent="0.25">
      <c r="C397" s="160"/>
      <c r="D397" s="160"/>
      <c r="E397" s="160"/>
    </row>
    <row r="398" spans="3:5" ht="13.2" x14ac:dyDescent="0.25">
      <c r="C398" s="160"/>
      <c r="D398" s="160"/>
      <c r="E398" s="160"/>
    </row>
    <row r="399" spans="3:5" ht="13.2" x14ac:dyDescent="0.25">
      <c r="C399" s="160"/>
      <c r="D399" s="160"/>
      <c r="E399" s="160"/>
    </row>
    <row r="400" spans="3:5" ht="13.2" x14ac:dyDescent="0.25">
      <c r="C400" s="160"/>
      <c r="D400" s="160"/>
      <c r="E400" s="160"/>
    </row>
    <row r="401" spans="3:5" ht="13.2" x14ac:dyDescent="0.25">
      <c r="C401" s="160"/>
      <c r="D401" s="160"/>
      <c r="E401" s="160"/>
    </row>
    <row r="402" spans="3:5" ht="13.2" x14ac:dyDescent="0.25">
      <c r="C402" s="160"/>
      <c r="D402" s="160"/>
      <c r="E402" s="160"/>
    </row>
    <row r="403" spans="3:5" ht="13.2" x14ac:dyDescent="0.25">
      <c r="C403" s="160"/>
      <c r="D403" s="160"/>
      <c r="E403" s="160"/>
    </row>
    <row r="404" spans="3:5" ht="13.2" x14ac:dyDescent="0.25">
      <c r="C404" s="160"/>
      <c r="D404" s="160"/>
      <c r="E404" s="160"/>
    </row>
    <row r="405" spans="3:5" ht="13.2" x14ac:dyDescent="0.25">
      <c r="C405" s="160"/>
      <c r="D405" s="160"/>
      <c r="E405" s="160"/>
    </row>
    <row r="406" spans="3:5" ht="13.2" x14ac:dyDescent="0.25">
      <c r="C406" s="160"/>
      <c r="D406" s="160"/>
      <c r="E406" s="160"/>
    </row>
    <row r="407" spans="3:5" ht="13.2" x14ac:dyDescent="0.25">
      <c r="C407" s="160"/>
      <c r="D407" s="160"/>
      <c r="E407" s="160"/>
    </row>
    <row r="408" spans="3:5" ht="13.2" x14ac:dyDescent="0.25">
      <c r="C408" s="160"/>
      <c r="D408" s="160"/>
      <c r="E408" s="160"/>
    </row>
    <row r="409" spans="3:5" ht="13.2" x14ac:dyDescent="0.25">
      <c r="C409" s="160"/>
      <c r="D409" s="160"/>
      <c r="E409" s="160"/>
    </row>
    <row r="410" spans="3:5" ht="13.2" x14ac:dyDescent="0.25">
      <c r="C410" s="160"/>
      <c r="D410" s="160"/>
      <c r="E410" s="160"/>
    </row>
    <row r="411" spans="3:5" ht="13.2" x14ac:dyDescent="0.25">
      <c r="C411" s="160"/>
      <c r="D411" s="160"/>
      <c r="E411" s="160"/>
    </row>
    <row r="412" spans="3:5" ht="13.2" x14ac:dyDescent="0.25">
      <c r="C412" s="160"/>
      <c r="D412" s="160"/>
      <c r="E412" s="160"/>
    </row>
    <row r="413" spans="3:5" ht="13.2" x14ac:dyDescent="0.25">
      <c r="C413" s="160"/>
      <c r="D413" s="160"/>
      <c r="E413" s="160"/>
    </row>
    <row r="414" spans="3:5" ht="13.2" x14ac:dyDescent="0.25">
      <c r="C414" s="160"/>
      <c r="D414" s="160"/>
      <c r="E414" s="160"/>
    </row>
    <row r="415" spans="3:5" ht="13.2" x14ac:dyDescent="0.25">
      <c r="C415" s="160"/>
      <c r="D415" s="160"/>
      <c r="E415" s="160"/>
    </row>
    <row r="416" spans="3:5" ht="13.2" x14ac:dyDescent="0.25">
      <c r="C416" s="160"/>
      <c r="D416" s="160"/>
      <c r="E416" s="160"/>
    </row>
    <row r="417" spans="3:5" ht="13.2" x14ac:dyDescent="0.25">
      <c r="C417" s="160"/>
      <c r="D417" s="160"/>
      <c r="E417" s="160"/>
    </row>
    <row r="418" spans="3:5" ht="13.2" x14ac:dyDescent="0.25">
      <c r="C418" s="160"/>
      <c r="D418" s="160"/>
      <c r="E418" s="160"/>
    </row>
    <row r="419" spans="3:5" ht="13.2" x14ac:dyDescent="0.25">
      <c r="C419" s="160"/>
      <c r="D419" s="160"/>
      <c r="E419" s="160"/>
    </row>
    <row r="420" spans="3:5" ht="13.2" x14ac:dyDescent="0.25">
      <c r="C420" s="160"/>
      <c r="D420" s="160"/>
      <c r="E420" s="160"/>
    </row>
    <row r="421" spans="3:5" ht="13.2" x14ac:dyDescent="0.25">
      <c r="C421" s="160"/>
      <c r="D421" s="160"/>
      <c r="E421" s="160"/>
    </row>
    <row r="422" spans="3:5" ht="13.2" x14ac:dyDescent="0.25">
      <c r="C422" s="160"/>
      <c r="D422" s="160"/>
      <c r="E422" s="160"/>
    </row>
    <row r="423" spans="3:5" ht="13.2" x14ac:dyDescent="0.25">
      <c r="C423" s="160"/>
      <c r="D423" s="160"/>
      <c r="E423" s="160"/>
    </row>
    <row r="424" spans="3:5" ht="13.2" x14ac:dyDescent="0.25">
      <c r="C424" s="160"/>
      <c r="D424" s="160"/>
      <c r="E424" s="160"/>
    </row>
    <row r="425" spans="3:5" ht="13.2" x14ac:dyDescent="0.25">
      <c r="C425" s="160"/>
      <c r="D425" s="160"/>
      <c r="E425" s="160"/>
    </row>
    <row r="426" spans="3:5" ht="13.2" x14ac:dyDescent="0.25">
      <c r="C426" s="160"/>
      <c r="D426" s="160"/>
      <c r="E426" s="160"/>
    </row>
    <row r="427" spans="3:5" ht="13.2" x14ac:dyDescent="0.25">
      <c r="C427" s="160"/>
      <c r="D427" s="160"/>
      <c r="E427" s="160"/>
    </row>
    <row r="428" spans="3:5" ht="13.2" x14ac:dyDescent="0.25">
      <c r="C428" s="160"/>
      <c r="D428" s="160"/>
      <c r="E428" s="160"/>
    </row>
    <row r="429" spans="3:5" ht="13.2" x14ac:dyDescent="0.25">
      <c r="C429" s="160"/>
      <c r="D429" s="160"/>
      <c r="E429" s="160"/>
    </row>
    <row r="430" spans="3:5" ht="13.2" x14ac:dyDescent="0.25">
      <c r="C430" s="160"/>
      <c r="D430" s="160"/>
      <c r="E430" s="160"/>
    </row>
    <row r="431" spans="3:5" ht="13.2" x14ac:dyDescent="0.25">
      <c r="C431" s="160"/>
      <c r="D431" s="160"/>
      <c r="E431" s="160"/>
    </row>
    <row r="432" spans="3:5" ht="13.2" x14ac:dyDescent="0.25">
      <c r="C432" s="160"/>
      <c r="D432" s="160"/>
      <c r="E432" s="160"/>
    </row>
    <row r="433" spans="3:5" ht="13.2" x14ac:dyDescent="0.25">
      <c r="C433" s="160"/>
      <c r="D433" s="160"/>
      <c r="E433" s="160"/>
    </row>
    <row r="434" spans="3:5" ht="13.2" x14ac:dyDescent="0.25">
      <c r="C434" s="160"/>
      <c r="D434" s="160"/>
      <c r="E434" s="160"/>
    </row>
    <row r="435" spans="3:5" ht="13.2" x14ac:dyDescent="0.25">
      <c r="C435" s="160"/>
      <c r="D435" s="160"/>
      <c r="E435" s="160"/>
    </row>
    <row r="436" spans="3:5" ht="13.2" x14ac:dyDescent="0.25">
      <c r="C436" s="160"/>
      <c r="D436" s="160"/>
      <c r="E436" s="160"/>
    </row>
    <row r="437" spans="3:5" ht="13.2" x14ac:dyDescent="0.25">
      <c r="C437" s="160"/>
      <c r="D437" s="160"/>
      <c r="E437" s="160"/>
    </row>
    <row r="438" spans="3:5" ht="13.2" x14ac:dyDescent="0.25">
      <c r="C438" s="160"/>
      <c r="D438" s="160"/>
      <c r="E438" s="160"/>
    </row>
    <row r="439" spans="3:5" ht="13.2" x14ac:dyDescent="0.25">
      <c r="C439" s="160"/>
      <c r="D439" s="160"/>
      <c r="E439" s="160"/>
    </row>
    <row r="440" spans="3:5" ht="13.2" x14ac:dyDescent="0.25">
      <c r="C440" s="160"/>
      <c r="D440" s="160"/>
      <c r="E440" s="160"/>
    </row>
    <row r="441" spans="3:5" ht="13.2" x14ac:dyDescent="0.25">
      <c r="C441" s="160"/>
      <c r="D441" s="160"/>
      <c r="E441" s="160"/>
    </row>
    <row r="442" spans="3:5" ht="13.2" x14ac:dyDescent="0.25">
      <c r="C442" s="160"/>
      <c r="D442" s="160"/>
      <c r="E442" s="160"/>
    </row>
    <row r="443" spans="3:5" ht="13.2" x14ac:dyDescent="0.25">
      <c r="C443" s="160"/>
      <c r="D443" s="160"/>
      <c r="E443" s="160"/>
    </row>
    <row r="444" spans="3:5" ht="13.2" x14ac:dyDescent="0.25">
      <c r="C444" s="160"/>
      <c r="D444" s="160"/>
      <c r="E444" s="160"/>
    </row>
    <row r="445" spans="3:5" ht="13.2" x14ac:dyDescent="0.25">
      <c r="C445" s="160"/>
      <c r="D445" s="160"/>
      <c r="E445" s="160"/>
    </row>
    <row r="446" spans="3:5" ht="13.2" x14ac:dyDescent="0.25">
      <c r="C446" s="160"/>
      <c r="D446" s="160"/>
      <c r="E446" s="160"/>
    </row>
    <row r="447" spans="3:5" ht="13.2" x14ac:dyDescent="0.25">
      <c r="C447" s="160"/>
      <c r="D447" s="160"/>
      <c r="E447" s="160"/>
    </row>
    <row r="448" spans="3:5" ht="13.2" x14ac:dyDescent="0.25">
      <c r="C448" s="160"/>
      <c r="D448" s="160"/>
      <c r="E448" s="160"/>
    </row>
    <row r="449" spans="3:5" ht="13.2" x14ac:dyDescent="0.25">
      <c r="C449" s="160"/>
      <c r="D449" s="160"/>
      <c r="E449" s="160"/>
    </row>
    <row r="450" spans="3:5" ht="13.2" x14ac:dyDescent="0.25">
      <c r="C450" s="160"/>
      <c r="D450" s="160"/>
      <c r="E450" s="160"/>
    </row>
    <row r="451" spans="3:5" ht="13.2" x14ac:dyDescent="0.25">
      <c r="C451" s="160"/>
      <c r="D451" s="160"/>
      <c r="E451" s="160"/>
    </row>
    <row r="452" spans="3:5" ht="13.2" x14ac:dyDescent="0.25">
      <c r="C452" s="160"/>
      <c r="D452" s="160"/>
      <c r="E452" s="160"/>
    </row>
    <row r="453" spans="3:5" ht="13.2" x14ac:dyDescent="0.25">
      <c r="C453" s="160"/>
      <c r="D453" s="160"/>
      <c r="E453" s="160"/>
    </row>
    <row r="454" spans="3:5" ht="13.2" x14ac:dyDescent="0.25">
      <c r="C454" s="160"/>
      <c r="D454" s="160"/>
      <c r="E454" s="160"/>
    </row>
    <row r="455" spans="3:5" ht="13.2" x14ac:dyDescent="0.25">
      <c r="C455" s="160"/>
      <c r="D455" s="160"/>
      <c r="E455" s="160"/>
    </row>
    <row r="456" spans="3:5" ht="13.2" x14ac:dyDescent="0.25">
      <c r="C456" s="160"/>
      <c r="D456" s="160"/>
      <c r="E456" s="160"/>
    </row>
    <row r="457" spans="3:5" ht="13.2" x14ac:dyDescent="0.25">
      <c r="C457" s="160"/>
      <c r="D457" s="160"/>
      <c r="E457" s="160"/>
    </row>
    <row r="458" spans="3:5" ht="13.2" x14ac:dyDescent="0.25">
      <c r="C458" s="160"/>
      <c r="D458" s="160"/>
      <c r="E458" s="160"/>
    </row>
    <row r="459" spans="3:5" ht="13.2" x14ac:dyDescent="0.25">
      <c r="C459" s="160"/>
      <c r="D459" s="160"/>
      <c r="E459" s="160"/>
    </row>
    <row r="460" spans="3:5" ht="13.2" x14ac:dyDescent="0.25">
      <c r="C460" s="160"/>
      <c r="D460" s="160"/>
      <c r="E460" s="160"/>
    </row>
    <row r="461" spans="3:5" ht="13.2" x14ac:dyDescent="0.25">
      <c r="C461" s="160"/>
      <c r="D461" s="160"/>
      <c r="E461" s="160"/>
    </row>
    <row r="462" spans="3:5" ht="13.2" x14ac:dyDescent="0.25">
      <c r="C462" s="160"/>
      <c r="D462" s="160"/>
      <c r="E462" s="160"/>
    </row>
    <row r="463" spans="3:5" ht="13.2" x14ac:dyDescent="0.25">
      <c r="C463" s="160"/>
      <c r="D463" s="160"/>
      <c r="E463" s="160"/>
    </row>
    <row r="464" spans="3:5" ht="13.2" x14ac:dyDescent="0.25">
      <c r="C464" s="160"/>
      <c r="D464" s="160"/>
      <c r="E464" s="160"/>
    </row>
    <row r="465" spans="3:5" ht="13.2" x14ac:dyDescent="0.25">
      <c r="C465" s="160"/>
      <c r="D465" s="160"/>
      <c r="E465" s="160"/>
    </row>
    <row r="466" spans="3:5" ht="13.2" x14ac:dyDescent="0.25">
      <c r="C466" s="160"/>
      <c r="D466" s="160"/>
      <c r="E466" s="160"/>
    </row>
    <row r="467" spans="3:5" ht="13.2" x14ac:dyDescent="0.25">
      <c r="C467" s="160"/>
      <c r="D467" s="160"/>
      <c r="E467" s="160"/>
    </row>
    <row r="468" spans="3:5" ht="13.2" x14ac:dyDescent="0.25">
      <c r="C468" s="160"/>
      <c r="D468" s="160"/>
      <c r="E468" s="160"/>
    </row>
    <row r="469" spans="3:5" ht="13.2" x14ac:dyDescent="0.25">
      <c r="C469" s="160"/>
      <c r="D469" s="160"/>
      <c r="E469" s="160"/>
    </row>
    <row r="470" spans="3:5" ht="13.2" x14ac:dyDescent="0.25">
      <c r="C470" s="160"/>
      <c r="D470" s="160"/>
      <c r="E470" s="160"/>
    </row>
    <row r="471" spans="3:5" ht="13.2" x14ac:dyDescent="0.25">
      <c r="C471" s="160"/>
      <c r="D471" s="160"/>
      <c r="E471" s="160"/>
    </row>
    <row r="472" spans="3:5" ht="13.2" x14ac:dyDescent="0.25">
      <c r="C472" s="160"/>
      <c r="D472" s="160"/>
      <c r="E472" s="160"/>
    </row>
    <row r="473" spans="3:5" ht="13.2" x14ac:dyDescent="0.25">
      <c r="C473" s="160"/>
      <c r="D473" s="160"/>
      <c r="E473" s="160"/>
    </row>
    <row r="474" spans="3:5" ht="13.2" x14ac:dyDescent="0.25">
      <c r="C474" s="160"/>
      <c r="D474" s="160"/>
      <c r="E474" s="160"/>
    </row>
    <row r="475" spans="3:5" ht="13.2" x14ac:dyDescent="0.25">
      <c r="C475" s="160"/>
      <c r="D475" s="160"/>
      <c r="E475" s="160"/>
    </row>
    <row r="476" spans="3:5" ht="13.2" x14ac:dyDescent="0.25">
      <c r="C476" s="160"/>
      <c r="D476" s="160"/>
      <c r="E476" s="160"/>
    </row>
    <row r="477" spans="3:5" ht="13.2" x14ac:dyDescent="0.25">
      <c r="C477" s="160"/>
      <c r="D477" s="160"/>
      <c r="E477" s="160"/>
    </row>
    <row r="478" spans="3:5" ht="13.2" x14ac:dyDescent="0.25">
      <c r="C478" s="160"/>
      <c r="D478" s="160"/>
      <c r="E478" s="160"/>
    </row>
    <row r="479" spans="3:5" ht="13.2" x14ac:dyDescent="0.25">
      <c r="C479" s="160"/>
      <c r="D479" s="160"/>
      <c r="E479" s="160"/>
    </row>
    <row r="480" spans="3:5" ht="13.2" x14ac:dyDescent="0.25">
      <c r="C480" s="160"/>
      <c r="D480" s="160"/>
      <c r="E480" s="160"/>
    </row>
    <row r="481" spans="3:5" ht="13.2" x14ac:dyDescent="0.25">
      <c r="C481" s="160"/>
      <c r="D481" s="160"/>
      <c r="E481" s="160"/>
    </row>
    <row r="482" spans="3:5" ht="13.2" x14ac:dyDescent="0.25">
      <c r="C482" s="160"/>
      <c r="D482" s="160"/>
      <c r="E482" s="160"/>
    </row>
    <row r="483" spans="3:5" ht="13.2" x14ac:dyDescent="0.25">
      <c r="C483" s="160"/>
      <c r="D483" s="160"/>
      <c r="E483" s="160"/>
    </row>
    <row r="484" spans="3:5" ht="13.2" x14ac:dyDescent="0.25">
      <c r="C484" s="160"/>
      <c r="D484" s="160"/>
      <c r="E484" s="160"/>
    </row>
    <row r="485" spans="3:5" ht="13.2" x14ac:dyDescent="0.25">
      <c r="C485" s="160"/>
      <c r="D485" s="160"/>
      <c r="E485" s="160"/>
    </row>
    <row r="486" spans="3:5" ht="13.2" x14ac:dyDescent="0.25">
      <c r="C486" s="160"/>
      <c r="D486" s="160"/>
      <c r="E486" s="160"/>
    </row>
    <row r="487" spans="3:5" ht="13.2" x14ac:dyDescent="0.25">
      <c r="C487" s="160"/>
      <c r="D487" s="160"/>
      <c r="E487" s="160"/>
    </row>
    <row r="488" spans="3:5" ht="13.2" x14ac:dyDescent="0.25">
      <c r="C488" s="160"/>
      <c r="D488" s="160"/>
      <c r="E488" s="160"/>
    </row>
    <row r="489" spans="3:5" ht="13.2" x14ac:dyDescent="0.25">
      <c r="C489" s="160"/>
      <c r="D489" s="160"/>
      <c r="E489" s="160"/>
    </row>
    <row r="490" spans="3:5" ht="13.2" x14ac:dyDescent="0.25">
      <c r="C490" s="160"/>
      <c r="D490" s="160"/>
      <c r="E490" s="160"/>
    </row>
    <row r="491" spans="3:5" ht="13.2" x14ac:dyDescent="0.25">
      <c r="C491" s="160"/>
      <c r="D491" s="160"/>
      <c r="E491" s="160"/>
    </row>
    <row r="492" spans="3:5" ht="13.2" x14ac:dyDescent="0.25">
      <c r="C492" s="160"/>
      <c r="D492" s="160"/>
      <c r="E492" s="160"/>
    </row>
    <row r="493" spans="3:5" ht="13.2" x14ac:dyDescent="0.25">
      <c r="C493" s="160"/>
      <c r="D493" s="160"/>
      <c r="E493" s="160"/>
    </row>
    <row r="494" spans="3:5" ht="13.2" x14ac:dyDescent="0.25">
      <c r="C494" s="160"/>
      <c r="D494" s="160"/>
      <c r="E494" s="160"/>
    </row>
    <row r="495" spans="3:5" ht="13.2" x14ac:dyDescent="0.25">
      <c r="C495" s="160"/>
      <c r="D495" s="160"/>
      <c r="E495" s="160"/>
    </row>
    <row r="496" spans="3:5" ht="13.2" x14ac:dyDescent="0.25">
      <c r="C496" s="160"/>
      <c r="D496" s="160"/>
      <c r="E496" s="160"/>
    </row>
    <row r="497" spans="3:5" ht="13.2" x14ac:dyDescent="0.25">
      <c r="C497" s="160"/>
      <c r="D497" s="160"/>
      <c r="E497" s="160"/>
    </row>
    <row r="498" spans="3:5" ht="13.2" x14ac:dyDescent="0.25">
      <c r="C498" s="160"/>
      <c r="D498" s="160"/>
      <c r="E498" s="160"/>
    </row>
    <row r="499" spans="3:5" ht="13.2" x14ac:dyDescent="0.25">
      <c r="C499" s="160"/>
      <c r="D499" s="160"/>
      <c r="E499" s="160"/>
    </row>
    <row r="500" spans="3:5" ht="13.2" x14ac:dyDescent="0.25">
      <c r="C500" s="160"/>
      <c r="D500" s="160"/>
      <c r="E500" s="160"/>
    </row>
    <row r="501" spans="3:5" ht="13.2" x14ac:dyDescent="0.25">
      <c r="C501" s="160"/>
      <c r="D501" s="160"/>
      <c r="E501" s="160"/>
    </row>
    <row r="502" spans="3:5" ht="13.2" x14ac:dyDescent="0.25">
      <c r="C502" s="160"/>
      <c r="D502" s="160"/>
      <c r="E502" s="160"/>
    </row>
    <row r="503" spans="3:5" ht="13.2" x14ac:dyDescent="0.25">
      <c r="C503" s="160"/>
      <c r="D503" s="160"/>
      <c r="E503" s="160"/>
    </row>
    <row r="504" spans="3:5" ht="13.2" x14ac:dyDescent="0.25">
      <c r="C504" s="160"/>
      <c r="D504" s="160"/>
      <c r="E504" s="160"/>
    </row>
    <row r="505" spans="3:5" ht="13.2" x14ac:dyDescent="0.25">
      <c r="C505" s="160"/>
      <c r="D505" s="160"/>
      <c r="E505" s="160"/>
    </row>
    <row r="506" spans="3:5" ht="13.2" x14ac:dyDescent="0.25">
      <c r="C506" s="160"/>
      <c r="D506" s="160"/>
      <c r="E506" s="160"/>
    </row>
    <row r="507" spans="3:5" ht="13.2" x14ac:dyDescent="0.25">
      <c r="C507" s="160"/>
      <c r="D507" s="160"/>
      <c r="E507" s="160"/>
    </row>
    <row r="508" spans="3:5" ht="13.2" x14ac:dyDescent="0.25">
      <c r="C508" s="160"/>
      <c r="D508" s="160"/>
      <c r="E508" s="160"/>
    </row>
    <row r="509" spans="3:5" ht="13.2" x14ac:dyDescent="0.25">
      <c r="C509" s="160"/>
      <c r="D509" s="160"/>
      <c r="E509" s="160"/>
    </row>
    <row r="510" spans="3:5" ht="13.2" x14ac:dyDescent="0.25">
      <c r="C510" s="160"/>
      <c r="D510" s="160"/>
      <c r="E510" s="160"/>
    </row>
    <row r="511" spans="3:5" ht="13.2" x14ac:dyDescent="0.25">
      <c r="C511" s="160"/>
      <c r="D511" s="160"/>
      <c r="E511" s="160"/>
    </row>
    <row r="512" spans="3:5" ht="13.2" x14ac:dyDescent="0.25">
      <c r="C512" s="160"/>
      <c r="D512" s="160"/>
      <c r="E512" s="160"/>
    </row>
    <row r="513" spans="3:5" ht="13.2" x14ac:dyDescent="0.25">
      <c r="C513" s="160"/>
      <c r="D513" s="160"/>
      <c r="E513" s="160"/>
    </row>
    <row r="514" spans="3:5" ht="13.2" x14ac:dyDescent="0.25">
      <c r="C514" s="160"/>
      <c r="D514" s="160"/>
      <c r="E514" s="160"/>
    </row>
    <row r="515" spans="3:5" ht="13.2" x14ac:dyDescent="0.25">
      <c r="C515" s="160"/>
      <c r="D515" s="160"/>
      <c r="E515" s="160"/>
    </row>
    <row r="516" spans="3:5" ht="13.2" x14ac:dyDescent="0.25">
      <c r="C516" s="160"/>
      <c r="D516" s="160"/>
      <c r="E516" s="160"/>
    </row>
    <row r="517" spans="3:5" ht="13.2" x14ac:dyDescent="0.25">
      <c r="C517" s="160"/>
      <c r="D517" s="160"/>
      <c r="E517" s="160"/>
    </row>
    <row r="518" spans="3:5" ht="13.2" x14ac:dyDescent="0.25">
      <c r="C518" s="160"/>
      <c r="D518" s="160"/>
      <c r="E518" s="160"/>
    </row>
    <row r="519" spans="3:5" ht="13.2" x14ac:dyDescent="0.25">
      <c r="C519" s="160"/>
      <c r="D519" s="160"/>
      <c r="E519" s="160"/>
    </row>
    <row r="520" spans="3:5" ht="13.2" x14ac:dyDescent="0.25">
      <c r="C520" s="160"/>
      <c r="D520" s="160"/>
      <c r="E520" s="160"/>
    </row>
    <row r="521" spans="3:5" ht="13.2" x14ac:dyDescent="0.25">
      <c r="C521" s="160"/>
      <c r="D521" s="160"/>
      <c r="E521" s="160"/>
    </row>
    <row r="522" spans="3:5" ht="13.2" x14ac:dyDescent="0.25">
      <c r="C522" s="160"/>
      <c r="D522" s="160"/>
      <c r="E522" s="160"/>
    </row>
    <row r="523" spans="3:5" ht="13.2" x14ac:dyDescent="0.25">
      <c r="C523" s="160"/>
      <c r="D523" s="160"/>
      <c r="E523" s="160"/>
    </row>
    <row r="524" spans="3:5" ht="13.2" x14ac:dyDescent="0.25">
      <c r="C524" s="160"/>
      <c r="D524" s="160"/>
      <c r="E524" s="160"/>
    </row>
    <row r="525" spans="3:5" ht="13.2" x14ac:dyDescent="0.25">
      <c r="C525" s="160"/>
      <c r="D525" s="160"/>
      <c r="E525" s="160"/>
    </row>
    <row r="526" spans="3:5" ht="13.2" x14ac:dyDescent="0.25">
      <c r="C526" s="160"/>
      <c r="D526" s="160"/>
      <c r="E526" s="160"/>
    </row>
    <row r="527" spans="3:5" ht="13.2" x14ac:dyDescent="0.25">
      <c r="C527" s="160"/>
      <c r="D527" s="160"/>
      <c r="E527" s="160"/>
    </row>
    <row r="528" spans="3:5" ht="13.2" x14ac:dyDescent="0.25">
      <c r="C528" s="160"/>
      <c r="D528" s="160"/>
      <c r="E528" s="160"/>
    </row>
    <row r="529" spans="3:5" ht="13.2" x14ac:dyDescent="0.25">
      <c r="C529" s="160"/>
      <c r="D529" s="160"/>
      <c r="E529" s="160"/>
    </row>
    <row r="530" spans="3:5" ht="13.2" x14ac:dyDescent="0.25">
      <c r="C530" s="160"/>
      <c r="D530" s="160"/>
      <c r="E530" s="160"/>
    </row>
    <row r="531" spans="3:5" ht="13.2" x14ac:dyDescent="0.25">
      <c r="C531" s="160"/>
      <c r="D531" s="160"/>
      <c r="E531" s="160"/>
    </row>
    <row r="532" spans="3:5" ht="13.2" x14ac:dyDescent="0.25">
      <c r="C532" s="160"/>
      <c r="D532" s="160"/>
      <c r="E532" s="160"/>
    </row>
    <row r="533" spans="3:5" ht="13.2" x14ac:dyDescent="0.25">
      <c r="C533" s="160"/>
      <c r="D533" s="160"/>
      <c r="E533" s="160"/>
    </row>
    <row r="534" spans="3:5" ht="13.2" x14ac:dyDescent="0.25">
      <c r="C534" s="160"/>
      <c r="D534" s="160"/>
      <c r="E534" s="160"/>
    </row>
    <row r="535" spans="3:5" ht="13.2" x14ac:dyDescent="0.25">
      <c r="C535" s="160"/>
      <c r="D535" s="160"/>
      <c r="E535" s="160"/>
    </row>
    <row r="536" spans="3:5" ht="13.2" x14ac:dyDescent="0.25">
      <c r="C536" s="160"/>
      <c r="D536" s="160"/>
      <c r="E536" s="160"/>
    </row>
    <row r="537" spans="3:5" ht="13.2" x14ac:dyDescent="0.25">
      <c r="C537" s="160"/>
      <c r="D537" s="160"/>
      <c r="E537" s="160"/>
    </row>
    <row r="538" spans="3:5" ht="13.2" x14ac:dyDescent="0.25">
      <c r="C538" s="160"/>
      <c r="D538" s="160"/>
      <c r="E538" s="160"/>
    </row>
    <row r="539" spans="3:5" ht="13.2" x14ac:dyDescent="0.25">
      <c r="C539" s="160"/>
      <c r="D539" s="160"/>
      <c r="E539" s="160"/>
    </row>
    <row r="540" spans="3:5" ht="13.2" x14ac:dyDescent="0.25">
      <c r="C540" s="160"/>
      <c r="D540" s="160"/>
      <c r="E540" s="160"/>
    </row>
    <row r="541" spans="3:5" ht="13.2" x14ac:dyDescent="0.25">
      <c r="C541" s="160"/>
      <c r="D541" s="160"/>
      <c r="E541" s="160"/>
    </row>
    <row r="542" spans="3:5" ht="13.2" x14ac:dyDescent="0.25">
      <c r="C542" s="160"/>
      <c r="D542" s="160"/>
      <c r="E542" s="160"/>
    </row>
    <row r="543" spans="3:5" ht="13.2" x14ac:dyDescent="0.25">
      <c r="C543" s="160"/>
      <c r="D543" s="160"/>
      <c r="E543" s="160"/>
    </row>
    <row r="544" spans="3:5" ht="13.2" x14ac:dyDescent="0.25">
      <c r="C544" s="160"/>
      <c r="D544" s="160"/>
      <c r="E544" s="160"/>
    </row>
    <row r="545" spans="3:5" ht="13.2" x14ac:dyDescent="0.25">
      <c r="C545" s="160"/>
      <c r="D545" s="160"/>
      <c r="E545" s="160"/>
    </row>
    <row r="546" spans="3:5" ht="13.2" x14ac:dyDescent="0.25">
      <c r="C546" s="160"/>
      <c r="D546" s="160"/>
      <c r="E546" s="160"/>
    </row>
    <row r="547" spans="3:5" ht="13.2" x14ac:dyDescent="0.25">
      <c r="C547" s="160"/>
      <c r="D547" s="160"/>
      <c r="E547" s="160"/>
    </row>
    <row r="548" spans="3:5" ht="13.2" x14ac:dyDescent="0.25">
      <c r="C548" s="160"/>
      <c r="D548" s="160"/>
      <c r="E548" s="160"/>
    </row>
    <row r="549" spans="3:5" ht="13.2" x14ac:dyDescent="0.25">
      <c r="C549" s="160"/>
      <c r="D549" s="160"/>
      <c r="E549" s="160"/>
    </row>
    <row r="550" spans="3:5" ht="13.2" x14ac:dyDescent="0.25">
      <c r="C550" s="160"/>
      <c r="D550" s="160"/>
      <c r="E550" s="160"/>
    </row>
    <row r="551" spans="3:5" ht="13.2" x14ac:dyDescent="0.25">
      <c r="C551" s="160"/>
      <c r="D551" s="160"/>
      <c r="E551" s="160"/>
    </row>
    <row r="552" spans="3:5" ht="13.2" x14ac:dyDescent="0.25">
      <c r="C552" s="160"/>
      <c r="D552" s="160"/>
      <c r="E552" s="160"/>
    </row>
    <row r="553" spans="3:5" ht="13.2" x14ac:dyDescent="0.25">
      <c r="C553" s="160"/>
      <c r="D553" s="160"/>
      <c r="E553" s="160"/>
    </row>
    <row r="554" spans="3:5" ht="13.2" x14ac:dyDescent="0.25">
      <c r="C554" s="160"/>
      <c r="D554" s="160"/>
      <c r="E554" s="160"/>
    </row>
    <row r="555" spans="3:5" ht="13.2" x14ac:dyDescent="0.25">
      <c r="C555" s="160"/>
      <c r="D555" s="160"/>
      <c r="E555" s="160"/>
    </row>
    <row r="556" spans="3:5" ht="13.2" x14ac:dyDescent="0.25">
      <c r="C556" s="160"/>
      <c r="D556" s="160"/>
      <c r="E556" s="160"/>
    </row>
    <row r="557" spans="3:5" ht="13.2" x14ac:dyDescent="0.25">
      <c r="C557" s="160"/>
      <c r="D557" s="160"/>
      <c r="E557" s="160"/>
    </row>
    <row r="558" spans="3:5" ht="13.2" x14ac:dyDescent="0.25">
      <c r="C558" s="160"/>
      <c r="D558" s="160"/>
      <c r="E558" s="160"/>
    </row>
    <row r="559" spans="3:5" ht="13.2" x14ac:dyDescent="0.25">
      <c r="C559" s="160"/>
      <c r="D559" s="160"/>
      <c r="E559" s="160"/>
    </row>
    <row r="560" spans="3:5" ht="13.2" x14ac:dyDescent="0.25">
      <c r="C560" s="160"/>
      <c r="D560" s="160"/>
      <c r="E560" s="160"/>
    </row>
    <row r="561" spans="3:5" ht="13.2" x14ac:dyDescent="0.25">
      <c r="C561" s="160"/>
      <c r="D561" s="160"/>
      <c r="E561" s="160"/>
    </row>
    <row r="562" spans="3:5" ht="13.2" x14ac:dyDescent="0.25">
      <c r="C562" s="160"/>
      <c r="D562" s="160"/>
      <c r="E562" s="160"/>
    </row>
    <row r="563" spans="3:5" ht="13.2" x14ac:dyDescent="0.25">
      <c r="C563" s="160"/>
      <c r="D563" s="160"/>
      <c r="E563" s="160"/>
    </row>
    <row r="564" spans="3:5" ht="13.2" x14ac:dyDescent="0.25">
      <c r="C564" s="160"/>
      <c r="D564" s="160"/>
      <c r="E564" s="160"/>
    </row>
    <row r="565" spans="3:5" ht="13.2" x14ac:dyDescent="0.25">
      <c r="C565" s="160"/>
      <c r="D565" s="160"/>
      <c r="E565" s="160"/>
    </row>
    <row r="566" spans="3:5" ht="13.2" x14ac:dyDescent="0.25">
      <c r="C566" s="160"/>
      <c r="D566" s="160"/>
      <c r="E566" s="160"/>
    </row>
    <row r="567" spans="3:5" ht="13.2" x14ac:dyDescent="0.25">
      <c r="C567" s="160"/>
      <c r="D567" s="160"/>
      <c r="E567" s="160"/>
    </row>
    <row r="568" spans="3:5" ht="13.2" x14ac:dyDescent="0.25">
      <c r="C568" s="160"/>
      <c r="D568" s="160"/>
      <c r="E568" s="160"/>
    </row>
    <row r="569" spans="3:5" ht="13.2" x14ac:dyDescent="0.25">
      <c r="C569" s="160"/>
      <c r="D569" s="160"/>
      <c r="E569" s="160"/>
    </row>
    <row r="570" spans="3:5" ht="13.2" x14ac:dyDescent="0.25">
      <c r="C570" s="160"/>
      <c r="D570" s="160"/>
      <c r="E570" s="160"/>
    </row>
    <row r="571" spans="3:5" ht="13.2" x14ac:dyDescent="0.25">
      <c r="C571" s="160"/>
      <c r="D571" s="160"/>
      <c r="E571" s="160"/>
    </row>
    <row r="572" spans="3:5" ht="13.2" x14ac:dyDescent="0.25">
      <c r="C572" s="160"/>
      <c r="D572" s="160"/>
      <c r="E572" s="160"/>
    </row>
    <row r="573" spans="3:5" ht="13.2" x14ac:dyDescent="0.25">
      <c r="C573" s="160"/>
      <c r="D573" s="160"/>
      <c r="E573" s="160"/>
    </row>
    <row r="574" spans="3:5" ht="13.2" x14ac:dyDescent="0.25">
      <c r="C574" s="160"/>
      <c r="D574" s="160"/>
      <c r="E574" s="160"/>
    </row>
    <row r="575" spans="3:5" ht="13.2" x14ac:dyDescent="0.25">
      <c r="C575" s="160"/>
      <c r="D575" s="160"/>
      <c r="E575" s="160"/>
    </row>
    <row r="576" spans="3:5" ht="13.2" x14ac:dyDescent="0.25">
      <c r="C576" s="160"/>
      <c r="D576" s="160"/>
      <c r="E576" s="160"/>
    </row>
    <row r="577" spans="3:5" ht="13.2" x14ac:dyDescent="0.25">
      <c r="C577" s="160"/>
      <c r="D577" s="160"/>
      <c r="E577" s="160"/>
    </row>
    <row r="578" spans="3:5" ht="13.2" x14ac:dyDescent="0.25">
      <c r="C578" s="160"/>
      <c r="D578" s="160"/>
      <c r="E578" s="160"/>
    </row>
    <row r="579" spans="3:5" ht="13.2" x14ac:dyDescent="0.25">
      <c r="C579" s="160"/>
      <c r="D579" s="160"/>
      <c r="E579" s="160"/>
    </row>
    <row r="580" spans="3:5" ht="13.2" x14ac:dyDescent="0.25">
      <c r="C580" s="160"/>
      <c r="D580" s="160"/>
      <c r="E580" s="160"/>
    </row>
    <row r="581" spans="3:5" ht="13.2" x14ac:dyDescent="0.25">
      <c r="C581" s="160"/>
      <c r="D581" s="160"/>
      <c r="E581" s="160"/>
    </row>
    <row r="582" spans="3:5" ht="13.2" x14ac:dyDescent="0.25">
      <c r="C582" s="160"/>
      <c r="D582" s="160"/>
      <c r="E582" s="160"/>
    </row>
    <row r="583" spans="3:5" ht="13.2" x14ac:dyDescent="0.25">
      <c r="C583" s="160"/>
      <c r="D583" s="160"/>
      <c r="E583" s="160"/>
    </row>
    <row r="584" spans="3:5" ht="13.2" x14ac:dyDescent="0.25">
      <c r="C584" s="160"/>
      <c r="D584" s="160"/>
      <c r="E584" s="160"/>
    </row>
    <row r="585" spans="3:5" ht="13.2" x14ac:dyDescent="0.25">
      <c r="C585" s="160"/>
      <c r="D585" s="160"/>
      <c r="E585" s="160"/>
    </row>
    <row r="586" spans="3:5" ht="13.2" x14ac:dyDescent="0.25">
      <c r="C586" s="160"/>
      <c r="D586" s="160"/>
      <c r="E586" s="160"/>
    </row>
    <row r="587" spans="3:5" ht="13.2" x14ac:dyDescent="0.25">
      <c r="C587" s="160"/>
      <c r="D587" s="160"/>
      <c r="E587" s="160"/>
    </row>
    <row r="588" spans="3:5" ht="13.2" x14ac:dyDescent="0.25">
      <c r="C588" s="160"/>
      <c r="D588" s="160"/>
      <c r="E588" s="160"/>
    </row>
    <row r="589" spans="3:5" ht="13.2" x14ac:dyDescent="0.25">
      <c r="C589" s="160"/>
      <c r="D589" s="160"/>
      <c r="E589" s="160"/>
    </row>
    <row r="590" spans="3:5" ht="13.2" x14ac:dyDescent="0.25">
      <c r="C590" s="160"/>
      <c r="D590" s="160"/>
      <c r="E590" s="160"/>
    </row>
    <row r="591" spans="3:5" ht="13.2" x14ac:dyDescent="0.25">
      <c r="C591" s="160"/>
      <c r="D591" s="160"/>
      <c r="E591" s="160"/>
    </row>
    <row r="592" spans="3:5" ht="13.2" x14ac:dyDescent="0.25">
      <c r="C592" s="160"/>
      <c r="D592" s="160"/>
      <c r="E592" s="160"/>
    </row>
    <row r="593" spans="3:5" ht="13.2" x14ac:dyDescent="0.25">
      <c r="C593" s="160"/>
      <c r="D593" s="160"/>
      <c r="E593" s="160"/>
    </row>
    <row r="594" spans="3:5" ht="13.2" x14ac:dyDescent="0.25">
      <c r="C594" s="160"/>
      <c r="D594" s="160"/>
      <c r="E594" s="160"/>
    </row>
    <row r="595" spans="3:5" ht="13.2" x14ac:dyDescent="0.25">
      <c r="C595" s="160"/>
      <c r="D595" s="160"/>
      <c r="E595" s="160"/>
    </row>
    <row r="596" spans="3:5" ht="13.2" x14ac:dyDescent="0.25">
      <c r="C596" s="160"/>
      <c r="D596" s="160"/>
      <c r="E596" s="160"/>
    </row>
    <row r="597" spans="3:5" ht="13.2" x14ac:dyDescent="0.25">
      <c r="C597" s="160"/>
      <c r="D597" s="160"/>
      <c r="E597" s="160"/>
    </row>
    <row r="598" spans="3:5" ht="13.2" x14ac:dyDescent="0.25">
      <c r="C598" s="160"/>
      <c r="D598" s="160"/>
      <c r="E598" s="160"/>
    </row>
    <row r="599" spans="3:5" ht="13.2" x14ac:dyDescent="0.25">
      <c r="C599" s="160"/>
      <c r="D599" s="160"/>
      <c r="E599" s="160"/>
    </row>
    <row r="600" spans="3:5" ht="13.2" x14ac:dyDescent="0.25">
      <c r="C600" s="160"/>
      <c r="D600" s="160"/>
      <c r="E600" s="160"/>
    </row>
    <row r="601" spans="3:5" ht="13.2" x14ac:dyDescent="0.25">
      <c r="C601" s="160"/>
      <c r="D601" s="160"/>
      <c r="E601" s="160"/>
    </row>
    <row r="602" spans="3:5" ht="13.2" x14ac:dyDescent="0.25">
      <c r="C602" s="160"/>
      <c r="D602" s="160"/>
      <c r="E602" s="160"/>
    </row>
    <row r="603" spans="3:5" ht="13.2" x14ac:dyDescent="0.25">
      <c r="C603" s="160"/>
      <c r="D603" s="160"/>
      <c r="E603" s="160"/>
    </row>
    <row r="604" spans="3:5" ht="13.2" x14ac:dyDescent="0.25">
      <c r="C604" s="160"/>
      <c r="D604" s="160"/>
      <c r="E604" s="160"/>
    </row>
    <row r="605" spans="3:5" ht="13.2" x14ac:dyDescent="0.25">
      <c r="C605" s="160"/>
      <c r="D605" s="160"/>
      <c r="E605" s="160"/>
    </row>
    <row r="606" spans="3:5" ht="13.2" x14ac:dyDescent="0.25">
      <c r="C606" s="160"/>
      <c r="D606" s="160"/>
      <c r="E606" s="160"/>
    </row>
    <row r="607" spans="3:5" ht="13.2" x14ac:dyDescent="0.25">
      <c r="C607" s="160"/>
      <c r="D607" s="160"/>
      <c r="E607" s="160"/>
    </row>
    <row r="608" spans="3:5" ht="13.2" x14ac:dyDescent="0.25">
      <c r="C608" s="160"/>
      <c r="D608" s="160"/>
      <c r="E608" s="160"/>
    </row>
    <row r="609" spans="3:5" ht="13.2" x14ac:dyDescent="0.25">
      <c r="C609" s="160"/>
      <c r="D609" s="160"/>
      <c r="E609" s="160"/>
    </row>
    <row r="610" spans="3:5" ht="13.2" x14ac:dyDescent="0.25">
      <c r="C610" s="160"/>
      <c r="D610" s="160"/>
      <c r="E610" s="160"/>
    </row>
    <row r="611" spans="3:5" ht="13.2" x14ac:dyDescent="0.25">
      <c r="C611" s="160"/>
      <c r="D611" s="160"/>
      <c r="E611" s="160"/>
    </row>
    <row r="612" spans="3:5" ht="13.2" x14ac:dyDescent="0.25">
      <c r="C612" s="160"/>
      <c r="D612" s="160"/>
      <c r="E612" s="160"/>
    </row>
    <row r="613" spans="3:5" ht="13.2" x14ac:dyDescent="0.25">
      <c r="C613" s="160"/>
      <c r="D613" s="160"/>
      <c r="E613" s="160"/>
    </row>
    <row r="614" spans="3:5" ht="13.2" x14ac:dyDescent="0.25">
      <c r="C614" s="160"/>
      <c r="D614" s="160"/>
      <c r="E614" s="160"/>
    </row>
    <row r="615" spans="3:5" ht="13.2" x14ac:dyDescent="0.25">
      <c r="C615" s="160"/>
      <c r="D615" s="160"/>
      <c r="E615" s="160"/>
    </row>
    <row r="616" spans="3:5" ht="13.2" x14ac:dyDescent="0.25">
      <c r="C616" s="160"/>
      <c r="D616" s="160"/>
      <c r="E616" s="160"/>
    </row>
    <row r="617" spans="3:5" ht="13.2" x14ac:dyDescent="0.25">
      <c r="C617" s="160"/>
      <c r="D617" s="160"/>
      <c r="E617" s="160"/>
    </row>
    <row r="618" spans="3:5" ht="13.2" x14ac:dyDescent="0.25">
      <c r="C618" s="160"/>
      <c r="D618" s="160"/>
      <c r="E618" s="160"/>
    </row>
    <row r="619" spans="3:5" ht="13.2" x14ac:dyDescent="0.25">
      <c r="C619" s="160"/>
      <c r="D619" s="160"/>
      <c r="E619" s="160"/>
    </row>
    <row r="620" spans="3:5" ht="13.2" x14ac:dyDescent="0.25">
      <c r="C620" s="160"/>
      <c r="D620" s="160"/>
      <c r="E620" s="160"/>
    </row>
    <row r="621" spans="3:5" ht="13.2" x14ac:dyDescent="0.25">
      <c r="C621" s="160"/>
      <c r="D621" s="160"/>
      <c r="E621" s="160"/>
    </row>
    <row r="622" spans="3:5" ht="13.2" x14ac:dyDescent="0.25">
      <c r="C622" s="160"/>
      <c r="D622" s="160"/>
      <c r="E622" s="160"/>
    </row>
    <row r="623" spans="3:5" ht="13.2" x14ac:dyDescent="0.25">
      <c r="C623" s="160"/>
      <c r="D623" s="160"/>
      <c r="E623" s="160"/>
    </row>
    <row r="624" spans="3:5" ht="13.2" x14ac:dyDescent="0.25">
      <c r="C624" s="160"/>
      <c r="D624" s="160"/>
      <c r="E624" s="160"/>
    </row>
    <row r="625" spans="3:5" ht="13.2" x14ac:dyDescent="0.25">
      <c r="C625" s="160"/>
      <c r="D625" s="160"/>
      <c r="E625" s="160"/>
    </row>
    <row r="626" spans="3:5" ht="13.2" x14ac:dyDescent="0.25">
      <c r="C626" s="160"/>
      <c r="D626" s="160"/>
      <c r="E626" s="160"/>
    </row>
    <row r="627" spans="3:5" ht="13.2" x14ac:dyDescent="0.25">
      <c r="C627" s="160"/>
      <c r="D627" s="160"/>
      <c r="E627" s="160"/>
    </row>
    <row r="628" spans="3:5" ht="13.2" x14ac:dyDescent="0.25">
      <c r="C628" s="160"/>
      <c r="D628" s="160"/>
      <c r="E628" s="160"/>
    </row>
    <row r="629" spans="3:5" ht="13.2" x14ac:dyDescent="0.25">
      <c r="C629" s="160"/>
      <c r="D629" s="160"/>
      <c r="E629" s="160"/>
    </row>
    <row r="630" spans="3:5" ht="13.2" x14ac:dyDescent="0.25">
      <c r="C630" s="160"/>
      <c r="D630" s="160"/>
      <c r="E630" s="160"/>
    </row>
    <row r="631" spans="3:5" ht="13.2" x14ac:dyDescent="0.25">
      <c r="C631" s="160"/>
      <c r="D631" s="160"/>
      <c r="E631" s="160"/>
    </row>
    <row r="632" spans="3:5" ht="13.2" x14ac:dyDescent="0.25">
      <c r="C632" s="160"/>
      <c r="D632" s="160"/>
      <c r="E632" s="160"/>
    </row>
    <row r="633" spans="3:5" ht="13.2" x14ac:dyDescent="0.25">
      <c r="C633" s="160"/>
      <c r="D633" s="160"/>
      <c r="E633" s="160"/>
    </row>
    <row r="634" spans="3:5" ht="13.2" x14ac:dyDescent="0.25">
      <c r="C634" s="160"/>
      <c r="D634" s="160"/>
      <c r="E634" s="160"/>
    </row>
    <row r="635" spans="3:5" ht="13.2" x14ac:dyDescent="0.25">
      <c r="C635" s="160"/>
      <c r="D635" s="160"/>
      <c r="E635" s="160"/>
    </row>
    <row r="636" spans="3:5" ht="13.2" x14ac:dyDescent="0.25">
      <c r="C636" s="160"/>
      <c r="D636" s="160"/>
      <c r="E636" s="160"/>
    </row>
    <row r="637" spans="3:5" ht="13.2" x14ac:dyDescent="0.25">
      <c r="C637" s="160"/>
      <c r="D637" s="160"/>
      <c r="E637" s="160"/>
    </row>
    <row r="638" spans="3:5" ht="13.2" x14ac:dyDescent="0.25">
      <c r="C638" s="160"/>
      <c r="D638" s="160"/>
      <c r="E638" s="160"/>
    </row>
    <row r="639" spans="3:5" ht="13.2" x14ac:dyDescent="0.25">
      <c r="C639" s="160"/>
      <c r="D639" s="160"/>
      <c r="E639" s="160"/>
    </row>
    <row r="640" spans="3:5" ht="13.2" x14ac:dyDescent="0.25">
      <c r="C640" s="160"/>
      <c r="D640" s="160"/>
      <c r="E640" s="160"/>
    </row>
    <row r="641" spans="3:5" ht="13.2" x14ac:dyDescent="0.25">
      <c r="C641" s="160"/>
      <c r="D641" s="160"/>
      <c r="E641" s="160"/>
    </row>
    <row r="642" spans="3:5" ht="13.2" x14ac:dyDescent="0.25">
      <c r="C642" s="160"/>
      <c r="D642" s="160"/>
      <c r="E642" s="160"/>
    </row>
    <row r="643" spans="3:5" ht="13.2" x14ac:dyDescent="0.25">
      <c r="C643" s="160"/>
      <c r="D643" s="160"/>
      <c r="E643" s="160"/>
    </row>
    <row r="644" spans="3:5" ht="13.2" x14ac:dyDescent="0.25">
      <c r="C644" s="160"/>
      <c r="D644" s="160"/>
      <c r="E644" s="160"/>
    </row>
    <row r="645" spans="3:5" ht="13.2" x14ac:dyDescent="0.25">
      <c r="C645" s="160"/>
      <c r="D645" s="160"/>
      <c r="E645" s="160"/>
    </row>
    <row r="646" spans="3:5" ht="13.2" x14ac:dyDescent="0.25">
      <c r="C646" s="160"/>
      <c r="D646" s="160"/>
      <c r="E646" s="160"/>
    </row>
    <row r="647" spans="3:5" ht="13.2" x14ac:dyDescent="0.25">
      <c r="C647" s="160"/>
      <c r="D647" s="160"/>
      <c r="E647" s="160"/>
    </row>
    <row r="648" spans="3:5" ht="13.2" x14ac:dyDescent="0.25">
      <c r="C648" s="160"/>
      <c r="D648" s="160"/>
      <c r="E648" s="160"/>
    </row>
    <row r="649" spans="3:5" ht="13.2" x14ac:dyDescent="0.25">
      <c r="C649" s="160"/>
      <c r="D649" s="160"/>
      <c r="E649" s="160"/>
    </row>
    <row r="650" spans="3:5" ht="13.2" x14ac:dyDescent="0.25">
      <c r="C650" s="160"/>
      <c r="D650" s="160"/>
      <c r="E650" s="160"/>
    </row>
    <row r="651" spans="3:5" ht="13.2" x14ac:dyDescent="0.25">
      <c r="C651" s="160"/>
      <c r="D651" s="160"/>
      <c r="E651" s="160"/>
    </row>
    <row r="652" spans="3:5" ht="13.2" x14ac:dyDescent="0.25">
      <c r="C652" s="160"/>
      <c r="D652" s="160"/>
      <c r="E652" s="160"/>
    </row>
    <row r="653" spans="3:5" ht="13.2" x14ac:dyDescent="0.25">
      <c r="C653" s="160"/>
      <c r="D653" s="160"/>
      <c r="E653" s="160"/>
    </row>
    <row r="654" spans="3:5" ht="13.2" x14ac:dyDescent="0.25">
      <c r="C654" s="160"/>
      <c r="D654" s="160"/>
      <c r="E654" s="160"/>
    </row>
    <row r="655" spans="3:5" ht="13.2" x14ac:dyDescent="0.25">
      <c r="C655" s="160"/>
      <c r="D655" s="160"/>
      <c r="E655" s="160"/>
    </row>
    <row r="656" spans="3:5" ht="13.2" x14ac:dyDescent="0.25">
      <c r="C656" s="160"/>
      <c r="D656" s="160"/>
      <c r="E656" s="160"/>
    </row>
    <row r="657" spans="3:5" ht="13.2" x14ac:dyDescent="0.25">
      <c r="C657" s="160"/>
      <c r="D657" s="160"/>
      <c r="E657" s="160"/>
    </row>
    <row r="658" spans="3:5" ht="13.2" x14ac:dyDescent="0.25">
      <c r="C658" s="160"/>
      <c r="D658" s="160"/>
      <c r="E658" s="160"/>
    </row>
    <row r="659" spans="3:5" ht="13.2" x14ac:dyDescent="0.25">
      <c r="C659" s="160"/>
      <c r="D659" s="160"/>
      <c r="E659" s="160"/>
    </row>
    <row r="660" spans="3:5" ht="13.2" x14ac:dyDescent="0.25">
      <c r="C660" s="160"/>
      <c r="D660" s="160"/>
      <c r="E660" s="160"/>
    </row>
    <row r="661" spans="3:5" ht="13.2" x14ac:dyDescent="0.25">
      <c r="C661" s="160"/>
      <c r="D661" s="160"/>
      <c r="E661" s="160"/>
    </row>
    <row r="662" spans="3:5" ht="13.2" x14ac:dyDescent="0.25">
      <c r="C662" s="160"/>
      <c r="D662" s="160"/>
      <c r="E662" s="160"/>
    </row>
    <row r="663" spans="3:5" ht="13.2" x14ac:dyDescent="0.25">
      <c r="C663" s="160"/>
      <c r="D663" s="160"/>
      <c r="E663" s="160"/>
    </row>
    <row r="664" spans="3:5" ht="13.2" x14ac:dyDescent="0.25">
      <c r="C664" s="160"/>
      <c r="D664" s="160"/>
      <c r="E664" s="160"/>
    </row>
    <row r="665" spans="3:5" ht="13.2" x14ac:dyDescent="0.25">
      <c r="C665" s="160"/>
      <c r="D665" s="160"/>
      <c r="E665" s="160"/>
    </row>
    <row r="666" spans="3:5" ht="13.2" x14ac:dyDescent="0.25">
      <c r="C666" s="160"/>
      <c r="D666" s="160"/>
      <c r="E666" s="160"/>
    </row>
    <row r="667" spans="3:5" ht="13.2" x14ac:dyDescent="0.25">
      <c r="C667" s="160"/>
      <c r="D667" s="160"/>
      <c r="E667" s="160"/>
    </row>
    <row r="668" spans="3:5" ht="13.2" x14ac:dyDescent="0.25">
      <c r="C668" s="160"/>
      <c r="D668" s="160"/>
      <c r="E668" s="160"/>
    </row>
    <row r="669" spans="3:5" ht="13.2" x14ac:dyDescent="0.25">
      <c r="C669" s="160"/>
      <c r="D669" s="160"/>
      <c r="E669" s="160"/>
    </row>
    <row r="670" spans="3:5" ht="13.2" x14ac:dyDescent="0.25">
      <c r="C670" s="160"/>
      <c r="D670" s="160"/>
      <c r="E670" s="160"/>
    </row>
    <row r="671" spans="3:5" ht="13.2" x14ac:dyDescent="0.25">
      <c r="C671" s="160"/>
      <c r="D671" s="160"/>
      <c r="E671" s="160"/>
    </row>
    <row r="672" spans="3:5" ht="13.2" x14ac:dyDescent="0.25">
      <c r="C672" s="160"/>
      <c r="D672" s="160"/>
      <c r="E672" s="160"/>
    </row>
    <row r="673" spans="3:5" ht="13.2" x14ac:dyDescent="0.25">
      <c r="C673" s="160"/>
      <c r="D673" s="160"/>
      <c r="E673" s="160"/>
    </row>
    <row r="674" spans="3:5" ht="13.2" x14ac:dyDescent="0.25">
      <c r="C674" s="160"/>
      <c r="D674" s="160"/>
      <c r="E674" s="160"/>
    </row>
    <row r="675" spans="3:5" ht="13.2" x14ac:dyDescent="0.25">
      <c r="C675" s="160"/>
      <c r="D675" s="160"/>
      <c r="E675" s="160"/>
    </row>
    <row r="676" spans="3:5" ht="13.2" x14ac:dyDescent="0.25">
      <c r="C676" s="160"/>
      <c r="D676" s="160"/>
      <c r="E676" s="160"/>
    </row>
    <row r="677" spans="3:5" ht="13.2" x14ac:dyDescent="0.25">
      <c r="C677" s="160"/>
      <c r="D677" s="160"/>
      <c r="E677" s="160"/>
    </row>
    <row r="678" spans="3:5" ht="13.2" x14ac:dyDescent="0.25">
      <c r="C678" s="160"/>
      <c r="D678" s="160"/>
      <c r="E678" s="160"/>
    </row>
    <row r="679" spans="3:5" ht="13.2" x14ac:dyDescent="0.25">
      <c r="C679" s="160"/>
      <c r="D679" s="160"/>
      <c r="E679" s="160"/>
    </row>
    <row r="680" spans="3:5" ht="13.2" x14ac:dyDescent="0.25">
      <c r="C680" s="160"/>
      <c r="D680" s="160"/>
      <c r="E680" s="160"/>
    </row>
    <row r="681" spans="3:5" ht="13.2" x14ac:dyDescent="0.25">
      <c r="C681" s="160"/>
      <c r="D681" s="160"/>
      <c r="E681" s="160"/>
    </row>
    <row r="682" spans="3:5" ht="13.2" x14ac:dyDescent="0.25">
      <c r="C682" s="160"/>
      <c r="D682" s="160"/>
      <c r="E682" s="160"/>
    </row>
    <row r="683" spans="3:5" ht="13.2" x14ac:dyDescent="0.25">
      <c r="C683" s="160"/>
      <c r="D683" s="160"/>
      <c r="E683" s="160"/>
    </row>
    <row r="684" spans="3:5" ht="13.2" x14ac:dyDescent="0.25">
      <c r="C684" s="160"/>
      <c r="D684" s="160"/>
      <c r="E684" s="160"/>
    </row>
    <row r="685" spans="3:5" ht="13.2" x14ac:dyDescent="0.25">
      <c r="C685" s="160"/>
      <c r="D685" s="160"/>
      <c r="E685" s="160"/>
    </row>
    <row r="686" spans="3:5" ht="13.2" x14ac:dyDescent="0.25">
      <c r="C686" s="160"/>
      <c r="D686" s="160"/>
      <c r="E686" s="160"/>
    </row>
    <row r="687" spans="3:5" ht="13.2" x14ac:dyDescent="0.25">
      <c r="C687" s="160"/>
      <c r="D687" s="160"/>
      <c r="E687" s="160"/>
    </row>
    <row r="688" spans="3:5" ht="13.2" x14ac:dyDescent="0.25">
      <c r="C688" s="160"/>
      <c r="D688" s="160"/>
      <c r="E688" s="160"/>
    </row>
    <row r="689" spans="3:5" ht="13.2" x14ac:dyDescent="0.25">
      <c r="C689" s="160"/>
      <c r="D689" s="160"/>
      <c r="E689" s="160"/>
    </row>
    <row r="690" spans="3:5" ht="13.2" x14ac:dyDescent="0.25">
      <c r="C690" s="160"/>
      <c r="D690" s="160"/>
      <c r="E690" s="160"/>
    </row>
    <row r="691" spans="3:5" ht="13.2" x14ac:dyDescent="0.25">
      <c r="C691" s="160"/>
      <c r="D691" s="160"/>
      <c r="E691" s="160"/>
    </row>
    <row r="692" spans="3:5" ht="13.2" x14ac:dyDescent="0.25">
      <c r="C692" s="160"/>
      <c r="D692" s="160"/>
      <c r="E692" s="160"/>
    </row>
    <row r="693" spans="3:5" ht="13.2" x14ac:dyDescent="0.25">
      <c r="C693" s="160"/>
      <c r="D693" s="160"/>
      <c r="E693" s="160"/>
    </row>
    <row r="694" spans="3:5" ht="13.2" x14ac:dyDescent="0.25">
      <c r="C694" s="160"/>
      <c r="D694" s="160"/>
      <c r="E694" s="160"/>
    </row>
    <row r="695" spans="3:5" ht="13.2" x14ac:dyDescent="0.25">
      <c r="C695" s="160"/>
      <c r="D695" s="160"/>
      <c r="E695" s="160"/>
    </row>
    <row r="696" spans="3:5" ht="13.2" x14ac:dyDescent="0.25">
      <c r="C696" s="160"/>
      <c r="D696" s="160"/>
      <c r="E696" s="160"/>
    </row>
    <row r="697" spans="3:5" ht="13.2" x14ac:dyDescent="0.25">
      <c r="C697" s="160"/>
      <c r="D697" s="160"/>
      <c r="E697" s="160"/>
    </row>
    <row r="698" spans="3:5" ht="13.2" x14ac:dyDescent="0.25">
      <c r="C698" s="160"/>
      <c r="D698" s="160"/>
      <c r="E698" s="160"/>
    </row>
    <row r="699" spans="3:5" ht="13.2" x14ac:dyDescent="0.25">
      <c r="C699" s="160"/>
      <c r="D699" s="160"/>
      <c r="E699" s="160"/>
    </row>
    <row r="700" spans="3:5" ht="13.2" x14ac:dyDescent="0.25">
      <c r="C700" s="160"/>
      <c r="D700" s="160"/>
      <c r="E700" s="160"/>
    </row>
    <row r="701" spans="3:5" ht="13.2" x14ac:dyDescent="0.25">
      <c r="C701" s="160"/>
      <c r="D701" s="160"/>
      <c r="E701" s="160"/>
    </row>
    <row r="702" spans="3:5" ht="13.2" x14ac:dyDescent="0.25">
      <c r="C702" s="160"/>
      <c r="D702" s="160"/>
      <c r="E702" s="160"/>
    </row>
    <row r="703" spans="3:5" ht="13.2" x14ac:dyDescent="0.25">
      <c r="C703" s="160"/>
      <c r="D703" s="160"/>
      <c r="E703" s="160"/>
    </row>
    <row r="704" spans="3:5" ht="13.2" x14ac:dyDescent="0.25">
      <c r="C704" s="160"/>
      <c r="D704" s="160"/>
      <c r="E704" s="160"/>
    </row>
    <row r="705" spans="3:5" ht="13.2" x14ac:dyDescent="0.25">
      <c r="C705" s="160"/>
      <c r="D705" s="160"/>
      <c r="E705" s="160"/>
    </row>
    <row r="706" spans="3:5" ht="13.2" x14ac:dyDescent="0.25">
      <c r="C706" s="160"/>
      <c r="D706" s="160"/>
      <c r="E706" s="160"/>
    </row>
    <row r="707" spans="3:5" ht="13.2" x14ac:dyDescent="0.25">
      <c r="C707" s="160"/>
      <c r="D707" s="160"/>
      <c r="E707" s="160"/>
    </row>
    <row r="708" spans="3:5" ht="13.2" x14ac:dyDescent="0.25">
      <c r="C708" s="160"/>
      <c r="D708" s="160"/>
      <c r="E708" s="160"/>
    </row>
    <row r="709" spans="3:5" ht="13.2" x14ac:dyDescent="0.25">
      <c r="C709" s="160"/>
      <c r="D709" s="160"/>
      <c r="E709" s="160"/>
    </row>
    <row r="710" spans="3:5" ht="13.2" x14ac:dyDescent="0.25">
      <c r="C710" s="160"/>
      <c r="D710" s="160"/>
      <c r="E710" s="160"/>
    </row>
    <row r="711" spans="3:5" ht="13.2" x14ac:dyDescent="0.25">
      <c r="C711" s="160"/>
      <c r="D711" s="160"/>
      <c r="E711" s="160"/>
    </row>
    <row r="712" spans="3:5" ht="13.2" x14ac:dyDescent="0.25">
      <c r="C712" s="160"/>
      <c r="D712" s="160"/>
      <c r="E712" s="160"/>
    </row>
    <row r="713" spans="3:5" ht="13.2" x14ac:dyDescent="0.25">
      <c r="C713" s="160"/>
      <c r="D713" s="160"/>
      <c r="E713" s="160"/>
    </row>
    <row r="714" spans="3:5" ht="13.2" x14ac:dyDescent="0.25">
      <c r="C714" s="160"/>
      <c r="D714" s="160"/>
      <c r="E714" s="160"/>
    </row>
    <row r="715" spans="3:5" ht="13.2" x14ac:dyDescent="0.25">
      <c r="C715" s="160"/>
      <c r="D715" s="160"/>
      <c r="E715" s="160"/>
    </row>
    <row r="716" spans="3:5" ht="13.2" x14ac:dyDescent="0.25">
      <c r="C716" s="160"/>
      <c r="D716" s="160"/>
      <c r="E716" s="160"/>
    </row>
    <row r="717" spans="3:5" ht="13.2" x14ac:dyDescent="0.25">
      <c r="C717" s="160"/>
      <c r="D717" s="160"/>
      <c r="E717" s="160"/>
    </row>
    <row r="718" spans="3:5" ht="13.2" x14ac:dyDescent="0.25">
      <c r="C718" s="160"/>
      <c r="D718" s="160"/>
      <c r="E718" s="160"/>
    </row>
    <row r="719" spans="3:5" ht="13.2" x14ac:dyDescent="0.25">
      <c r="C719" s="160"/>
      <c r="D719" s="160"/>
      <c r="E719" s="160"/>
    </row>
    <row r="720" spans="3:5" ht="13.2" x14ac:dyDescent="0.25">
      <c r="C720" s="160"/>
      <c r="D720" s="160"/>
      <c r="E720" s="160"/>
    </row>
    <row r="721" spans="3:5" ht="13.2" x14ac:dyDescent="0.25">
      <c r="C721" s="160"/>
      <c r="D721" s="160"/>
      <c r="E721" s="160"/>
    </row>
    <row r="722" spans="3:5" ht="13.2" x14ac:dyDescent="0.25">
      <c r="C722" s="160"/>
      <c r="D722" s="160"/>
      <c r="E722" s="160"/>
    </row>
    <row r="723" spans="3:5" ht="13.2" x14ac:dyDescent="0.25">
      <c r="C723" s="160"/>
      <c r="D723" s="160"/>
      <c r="E723" s="160"/>
    </row>
    <row r="724" spans="3:5" ht="13.2" x14ac:dyDescent="0.25">
      <c r="C724" s="160"/>
      <c r="D724" s="160"/>
      <c r="E724" s="160"/>
    </row>
    <row r="725" spans="3:5" ht="13.2" x14ac:dyDescent="0.25">
      <c r="C725" s="160"/>
      <c r="D725" s="160"/>
      <c r="E725" s="160"/>
    </row>
    <row r="726" spans="3:5" ht="13.2" x14ac:dyDescent="0.25">
      <c r="C726" s="160"/>
      <c r="D726" s="160"/>
      <c r="E726" s="160"/>
    </row>
    <row r="727" spans="3:5" ht="13.2" x14ac:dyDescent="0.25">
      <c r="C727" s="160"/>
      <c r="D727" s="160"/>
      <c r="E727" s="160"/>
    </row>
    <row r="728" spans="3:5" ht="13.2" x14ac:dyDescent="0.25">
      <c r="C728" s="160"/>
      <c r="D728" s="160"/>
      <c r="E728" s="160"/>
    </row>
    <row r="729" spans="3:5" ht="13.2" x14ac:dyDescent="0.25">
      <c r="C729" s="160"/>
      <c r="D729" s="160"/>
      <c r="E729" s="160"/>
    </row>
    <row r="730" spans="3:5" ht="13.2" x14ac:dyDescent="0.25">
      <c r="C730" s="160"/>
      <c r="D730" s="160"/>
      <c r="E730" s="160"/>
    </row>
    <row r="731" spans="3:5" ht="13.2" x14ac:dyDescent="0.25">
      <c r="C731" s="160"/>
      <c r="D731" s="160"/>
      <c r="E731" s="160"/>
    </row>
    <row r="732" spans="3:5" ht="13.2" x14ac:dyDescent="0.25">
      <c r="C732" s="160"/>
      <c r="D732" s="160"/>
      <c r="E732" s="160"/>
    </row>
    <row r="733" spans="3:5" ht="13.2" x14ac:dyDescent="0.25">
      <c r="C733" s="160"/>
      <c r="D733" s="160"/>
      <c r="E733" s="160"/>
    </row>
    <row r="734" spans="3:5" ht="13.2" x14ac:dyDescent="0.25">
      <c r="C734" s="160"/>
      <c r="D734" s="160"/>
      <c r="E734" s="160"/>
    </row>
    <row r="735" spans="3:5" ht="13.2" x14ac:dyDescent="0.25">
      <c r="C735" s="160"/>
      <c r="D735" s="160"/>
      <c r="E735" s="160"/>
    </row>
    <row r="736" spans="3:5" ht="13.2" x14ac:dyDescent="0.25">
      <c r="C736" s="160"/>
      <c r="D736" s="160"/>
      <c r="E736" s="160"/>
    </row>
    <row r="737" spans="3:5" ht="13.2" x14ac:dyDescent="0.25">
      <c r="C737" s="160"/>
      <c r="D737" s="160"/>
      <c r="E737" s="160"/>
    </row>
    <row r="738" spans="3:5" ht="13.2" x14ac:dyDescent="0.25">
      <c r="C738" s="160"/>
      <c r="D738" s="160"/>
      <c r="E738" s="160"/>
    </row>
    <row r="739" spans="3:5" ht="13.2" x14ac:dyDescent="0.25">
      <c r="C739" s="160"/>
      <c r="D739" s="160"/>
      <c r="E739" s="160"/>
    </row>
    <row r="740" spans="3:5" ht="13.2" x14ac:dyDescent="0.25">
      <c r="C740" s="160"/>
      <c r="D740" s="160"/>
      <c r="E740" s="160"/>
    </row>
    <row r="741" spans="3:5" ht="13.2" x14ac:dyDescent="0.25">
      <c r="C741" s="160"/>
      <c r="D741" s="160"/>
      <c r="E741" s="160"/>
    </row>
    <row r="742" spans="3:5" ht="13.2" x14ac:dyDescent="0.25">
      <c r="C742" s="160"/>
      <c r="D742" s="160"/>
      <c r="E742" s="160"/>
    </row>
    <row r="743" spans="3:5" ht="13.2" x14ac:dyDescent="0.25">
      <c r="C743" s="160"/>
      <c r="D743" s="160"/>
      <c r="E743" s="160"/>
    </row>
    <row r="744" spans="3:5" ht="13.2" x14ac:dyDescent="0.25">
      <c r="C744" s="160"/>
      <c r="D744" s="160"/>
      <c r="E744" s="160"/>
    </row>
    <row r="745" spans="3:5" ht="13.2" x14ac:dyDescent="0.25">
      <c r="C745" s="160"/>
      <c r="D745" s="160"/>
      <c r="E745" s="160"/>
    </row>
    <row r="746" spans="3:5" ht="13.2" x14ac:dyDescent="0.25">
      <c r="C746" s="160"/>
      <c r="D746" s="160"/>
      <c r="E746" s="160"/>
    </row>
    <row r="747" spans="3:5" ht="13.2" x14ac:dyDescent="0.25">
      <c r="C747" s="160"/>
      <c r="D747" s="160"/>
      <c r="E747" s="160"/>
    </row>
    <row r="748" spans="3:5" ht="13.2" x14ac:dyDescent="0.25">
      <c r="C748" s="160"/>
      <c r="D748" s="160"/>
      <c r="E748" s="160"/>
    </row>
    <row r="749" spans="3:5" ht="13.2" x14ac:dyDescent="0.25">
      <c r="C749" s="160"/>
      <c r="D749" s="160"/>
      <c r="E749" s="160"/>
    </row>
    <row r="750" spans="3:5" ht="13.2" x14ac:dyDescent="0.25">
      <c r="C750" s="160"/>
      <c r="D750" s="160"/>
      <c r="E750" s="160"/>
    </row>
    <row r="751" spans="3:5" ht="13.2" x14ac:dyDescent="0.25">
      <c r="C751" s="160"/>
      <c r="D751" s="160"/>
      <c r="E751" s="160"/>
    </row>
    <row r="752" spans="3:5" ht="13.2" x14ac:dyDescent="0.25">
      <c r="C752" s="160"/>
      <c r="D752" s="160"/>
      <c r="E752" s="160"/>
    </row>
    <row r="753" spans="3:5" ht="13.2" x14ac:dyDescent="0.25">
      <c r="C753" s="160"/>
      <c r="D753" s="160"/>
      <c r="E753" s="160"/>
    </row>
    <row r="754" spans="3:5" ht="13.2" x14ac:dyDescent="0.25">
      <c r="C754" s="160"/>
      <c r="D754" s="160"/>
      <c r="E754" s="160"/>
    </row>
    <row r="755" spans="3:5" ht="13.2" x14ac:dyDescent="0.25">
      <c r="C755" s="160"/>
      <c r="D755" s="160"/>
      <c r="E755" s="160"/>
    </row>
    <row r="756" spans="3:5" ht="13.2" x14ac:dyDescent="0.25">
      <c r="C756" s="160"/>
      <c r="D756" s="160"/>
      <c r="E756" s="160"/>
    </row>
    <row r="757" spans="3:5" ht="13.2" x14ac:dyDescent="0.25">
      <c r="C757" s="160"/>
      <c r="D757" s="160"/>
      <c r="E757" s="160"/>
    </row>
    <row r="758" spans="3:5" ht="13.2" x14ac:dyDescent="0.25">
      <c r="C758" s="160"/>
      <c r="D758" s="160"/>
      <c r="E758" s="160"/>
    </row>
    <row r="759" spans="3:5" ht="13.2" x14ac:dyDescent="0.25">
      <c r="C759" s="160"/>
      <c r="D759" s="160"/>
      <c r="E759" s="160"/>
    </row>
    <row r="760" spans="3:5" ht="13.2" x14ac:dyDescent="0.25">
      <c r="C760" s="160"/>
      <c r="D760" s="160"/>
      <c r="E760" s="160"/>
    </row>
    <row r="761" spans="3:5" ht="13.2" x14ac:dyDescent="0.25">
      <c r="C761" s="160"/>
      <c r="D761" s="160"/>
      <c r="E761" s="160"/>
    </row>
    <row r="762" spans="3:5" ht="13.2" x14ac:dyDescent="0.25">
      <c r="C762" s="160"/>
      <c r="D762" s="160"/>
      <c r="E762" s="160"/>
    </row>
    <row r="763" spans="3:5" ht="13.2" x14ac:dyDescent="0.25">
      <c r="C763" s="160"/>
      <c r="D763" s="160"/>
      <c r="E763" s="160"/>
    </row>
    <row r="764" spans="3:5" ht="13.2" x14ac:dyDescent="0.25">
      <c r="C764" s="160"/>
      <c r="D764" s="160"/>
      <c r="E764" s="160"/>
    </row>
    <row r="765" spans="3:5" ht="13.2" x14ac:dyDescent="0.25">
      <c r="C765" s="160"/>
      <c r="D765" s="160"/>
      <c r="E765" s="160"/>
    </row>
    <row r="766" spans="3:5" ht="13.2" x14ac:dyDescent="0.25">
      <c r="C766" s="160"/>
      <c r="D766" s="160"/>
      <c r="E766" s="160"/>
    </row>
    <row r="767" spans="3:5" ht="13.2" x14ac:dyDescent="0.25">
      <c r="C767" s="160"/>
      <c r="D767" s="160"/>
      <c r="E767" s="160"/>
    </row>
    <row r="768" spans="3:5" ht="13.2" x14ac:dyDescent="0.25">
      <c r="C768" s="160"/>
      <c r="D768" s="160"/>
      <c r="E768" s="160"/>
    </row>
    <row r="769" spans="3:5" ht="13.2" x14ac:dyDescent="0.25">
      <c r="C769" s="160"/>
      <c r="D769" s="160"/>
      <c r="E769" s="160"/>
    </row>
    <row r="770" spans="3:5" ht="13.2" x14ac:dyDescent="0.25">
      <c r="C770" s="160"/>
      <c r="D770" s="160"/>
      <c r="E770" s="160"/>
    </row>
    <row r="771" spans="3:5" ht="13.2" x14ac:dyDescent="0.25">
      <c r="C771" s="160"/>
      <c r="D771" s="160"/>
      <c r="E771" s="160"/>
    </row>
    <row r="772" spans="3:5" ht="13.2" x14ac:dyDescent="0.25">
      <c r="C772" s="160"/>
      <c r="D772" s="160"/>
      <c r="E772" s="160"/>
    </row>
    <row r="773" spans="3:5" ht="13.2" x14ac:dyDescent="0.25">
      <c r="C773" s="160"/>
      <c r="D773" s="160"/>
      <c r="E773" s="160"/>
    </row>
    <row r="774" spans="3:5" ht="13.2" x14ac:dyDescent="0.25">
      <c r="C774" s="160"/>
      <c r="D774" s="160"/>
      <c r="E774" s="160"/>
    </row>
    <row r="775" spans="3:5" ht="13.2" x14ac:dyDescent="0.25">
      <c r="C775" s="160"/>
      <c r="D775" s="160"/>
      <c r="E775" s="160"/>
    </row>
    <row r="776" spans="3:5" ht="13.2" x14ac:dyDescent="0.25">
      <c r="C776" s="160"/>
      <c r="D776" s="160"/>
      <c r="E776" s="160"/>
    </row>
    <row r="777" spans="3:5" ht="13.2" x14ac:dyDescent="0.25">
      <c r="C777" s="160"/>
      <c r="D777" s="160"/>
      <c r="E777" s="160"/>
    </row>
    <row r="778" spans="3:5" ht="13.2" x14ac:dyDescent="0.25">
      <c r="C778" s="160"/>
      <c r="D778" s="160"/>
      <c r="E778" s="160"/>
    </row>
    <row r="779" spans="3:5" ht="13.2" x14ac:dyDescent="0.25">
      <c r="C779" s="160"/>
      <c r="D779" s="160"/>
      <c r="E779" s="160"/>
    </row>
    <row r="780" spans="3:5" ht="13.2" x14ac:dyDescent="0.25">
      <c r="C780" s="160"/>
      <c r="D780" s="160"/>
      <c r="E780" s="160"/>
    </row>
    <row r="781" spans="3:5" ht="13.2" x14ac:dyDescent="0.25">
      <c r="C781" s="160"/>
      <c r="D781" s="160"/>
      <c r="E781" s="160"/>
    </row>
    <row r="782" spans="3:5" ht="13.2" x14ac:dyDescent="0.25">
      <c r="C782" s="160"/>
      <c r="D782" s="160"/>
      <c r="E782" s="160"/>
    </row>
    <row r="783" spans="3:5" ht="13.2" x14ac:dyDescent="0.25">
      <c r="C783" s="160"/>
      <c r="D783" s="160"/>
      <c r="E783" s="160"/>
    </row>
    <row r="784" spans="3:5" ht="13.2" x14ac:dyDescent="0.25">
      <c r="C784" s="160"/>
      <c r="D784" s="160"/>
      <c r="E784" s="160"/>
    </row>
    <row r="785" spans="3:5" ht="13.2" x14ac:dyDescent="0.25">
      <c r="C785" s="160"/>
      <c r="D785" s="160"/>
      <c r="E785" s="160"/>
    </row>
    <row r="786" spans="3:5" ht="13.2" x14ac:dyDescent="0.25">
      <c r="C786" s="160"/>
      <c r="D786" s="160"/>
      <c r="E786" s="160"/>
    </row>
    <row r="787" spans="3:5" ht="13.2" x14ac:dyDescent="0.25">
      <c r="C787" s="160"/>
      <c r="D787" s="160"/>
      <c r="E787" s="160"/>
    </row>
    <row r="788" spans="3:5" ht="13.2" x14ac:dyDescent="0.25">
      <c r="C788" s="160"/>
      <c r="D788" s="160"/>
      <c r="E788" s="160"/>
    </row>
    <row r="789" spans="3:5" ht="13.2" x14ac:dyDescent="0.25">
      <c r="C789" s="160"/>
      <c r="D789" s="160"/>
      <c r="E789" s="160"/>
    </row>
    <row r="790" spans="3:5" ht="13.2" x14ac:dyDescent="0.25">
      <c r="C790" s="160"/>
      <c r="D790" s="160"/>
      <c r="E790" s="160"/>
    </row>
    <row r="791" spans="3:5" ht="13.2" x14ac:dyDescent="0.25">
      <c r="C791" s="160"/>
      <c r="D791" s="160"/>
      <c r="E791" s="160"/>
    </row>
    <row r="792" spans="3:5" ht="13.2" x14ac:dyDescent="0.25">
      <c r="C792" s="160"/>
      <c r="D792" s="160"/>
      <c r="E792" s="160"/>
    </row>
    <row r="793" spans="3:5" ht="13.2" x14ac:dyDescent="0.25">
      <c r="C793" s="160"/>
      <c r="D793" s="160"/>
      <c r="E793" s="160"/>
    </row>
    <row r="794" spans="3:5" ht="13.2" x14ac:dyDescent="0.25">
      <c r="C794" s="160"/>
      <c r="D794" s="160"/>
      <c r="E794" s="160"/>
    </row>
    <row r="795" spans="3:5" ht="13.2" x14ac:dyDescent="0.25">
      <c r="C795" s="160"/>
      <c r="D795" s="160"/>
      <c r="E795" s="160"/>
    </row>
    <row r="796" spans="3:5" ht="13.2" x14ac:dyDescent="0.25">
      <c r="C796" s="160"/>
      <c r="D796" s="160"/>
      <c r="E796" s="160"/>
    </row>
    <row r="797" spans="3:5" ht="13.2" x14ac:dyDescent="0.25">
      <c r="C797" s="160"/>
      <c r="D797" s="160"/>
      <c r="E797" s="160"/>
    </row>
    <row r="798" spans="3:5" ht="13.2" x14ac:dyDescent="0.25">
      <c r="C798" s="160"/>
      <c r="D798" s="160"/>
      <c r="E798" s="160"/>
    </row>
    <row r="799" spans="3:5" ht="13.2" x14ac:dyDescent="0.25">
      <c r="C799" s="160"/>
      <c r="D799" s="160"/>
      <c r="E799" s="160"/>
    </row>
    <row r="800" spans="3:5" ht="13.2" x14ac:dyDescent="0.25">
      <c r="C800" s="160"/>
      <c r="D800" s="160"/>
      <c r="E800" s="160"/>
    </row>
    <row r="801" spans="3:5" ht="13.2" x14ac:dyDescent="0.25">
      <c r="C801" s="160"/>
      <c r="D801" s="160"/>
      <c r="E801" s="160"/>
    </row>
    <row r="802" spans="3:5" ht="13.2" x14ac:dyDescent="0.25">
      <c r="C802" s="160"/>
      <c r="D802" s="160"/>
      <c r="E802" s="160"/>
    </row>
    <row r="803" spans="3:5" ht="13.2" x14ac:dyDescent="0.25">
      <c r="C803" s="160"/>
      <c r="D803" s="160"/>
      <c r="E803" s="160"/>
    </row>
    <row r="804" spans="3:5" ht="13.2" x14ac:dyDescent="0.25">
      <c r="C804" s="160"/>
      <c r="D804" s="160"/>
      <c r="E804" s="160"/>
    </row>
    <row r="805" spans="3:5" ht="13.2" x14ac:dyDescent="0.25">
      <c r="C805" s="160"/>
      <c r="D805" s="160"/>
      <c r="E805" s="160"/>
    </row>
    <row r="806" spans="3:5" ht="13.2" x14ac:dyDescent="0.25">
      <c r="C806" s="160"/>
      <c r="D806" s="160"/>
      <c r="E806" s="160"/>
    </row>
    <row r="807" spans="3:5" ht="13.2" x14ac:dyDescent="0.25">
      <c r="C807" s="160"/>
      <c r="D807" s="160"/>
      <c r="E807" s="160"/>
    </row>
    <row r="808" spans="3:5" ht="13.2" x14ac:dyDescent="0.25">
      <c r="C808" s="160"/>
      <c r="D808" s="160"/>
      <c r="E808" s="160"/>
    </row>
    <row r="809" spans="3:5" ht="13.2" x14ac:dyDescent="0.25">
      <c r="C809" s="160"/>
      <c r="D809" s="160"/>
      <c r="E809" s="160"/>
    </row>
    <row r="810" spans="3:5" ht="13.2" x14ac:dyDescent="0.25">
      <c r="C810" s="160"/>
      <c r="D810" s="160"/>
      <c r="E810" s="160"/>
    </row>
    <row r="811" spans="3:5" ht="13.2" x14ac:dyDescent="0.25">
      <c r="C811" s="160"/>
      <c r="D811" s="160"/>
      <c r="E811" s="160"/>
    </row>
    <row r="812" spans="3:5" ht="13.2" x14ac:dyDescent="0.25">
      <c r="C812" s="160"/>
      <c r="D812" s="160"/>
      <c r="E812" s="160"/>
    </row>
    <row r="813" spans="3:5" ht="13.2" x14ac:dyDescent="0.25">
      <c r="C813" s="160"/>
      <c r="D813" s="160"/>
      <c r="E813" s="160"/>
    </row>
    <row r="814" spans="3:5" ht="13.2" x14ac:dyDescent="0.25">
      <c r="C814" s="160"/>
      <c r="D814" s="160"/>
      <c r="E814" s="160"/>
    </row>
    <row r="815" spans="3:5" ht="13.2" x14ac:dyDescent="0.25">
      <c r="C815" s="160"/>
      <c r="D815" s="160"/>
      <c r="E815" s="160"/>
    </row>
    <row r="816" spans="3:5" ht="13.2" x14ac:dyDescent="0.25">
      <c r="C816" s="160"/>
      <c r="D816" s="160"/>
      <c r="E816" s="160"/>
    </row>
    <row r="817" spans="3:5" ht="13.2" x14ac:dyDescent="0.25">
      <c r="C817" s="160"/>
      <c r="D817" s="160"/>
      <c r="E817" s="160"/>
    </row>
    <row r="818" spans="3:5" ht="13.2" x14ac:dyDescent="0.25">
      <c r="C818" s="160"/>
      <c r="D818" s="160"/>
      <c r="E818" s="160"/>
    </row>
    <row r="819" spans="3:5" ht="13.2" x14ac:dyDescent="0.25">
      <c r="C819" s="160"/>
      <c r="D819" s="160"/>
      <c r="E819" s="160"/>
    </row>
    <row r="820" spans="3:5" ht="13.2" x14ac:dyDescent="0.25">
      <c r="C820" s="160"/>
      <c r="D820" s="160"/>
      <c r="E820" s="160"/>
    </row>
    <row r="821" spans="3:5" ht="13.2" x14ac:dyDescent="0.25">
      <c r="C821" s="160"/>
      <c r="D821" s="160"/>
      <c r="E821" s="160"/>
    </row>
    <row r="822" spans="3:5" ht="13.2" x14ac:dyDescent="0.25">
      <c r="C822" s="160"/>
      <c r="D822" s="160"/>
      <c r="E822" s="160"/>
    </row>
    <row r="823" spans="3:5" ht="13.2" x14ac:dyDescent="0.25">
      <c r="C823" s="160"/>
      <c r="D823" s="160"/>
      <c r="E823" s="160"/>
    </row>
    <row r="824" spans="3:5" ht="13.2" x14ac:dyDescent="0.25">
      <c r="C824" s="160"/>
      <c r="D824" s="160"/>
      <c r="E824" s="160"/>
    </row>
    <row r="825" spans="3:5" ht="13.2" x14ac:dyDescent="0.25">
      <c r="C825" s="160"/>
      <c r="D825" s="160"/>
      <c r="E825" s="160"/>
    </row>
    <row r="826" spans="3:5" ht="13.2" x14ac:dyDescent="0.25">
      <c r="C826" s="160"/>
      <c r="D826" s="160"/>
      <c r="E826" s="160"/>
    </row>
    <row r="827" spans="3:5" ht="13.2" x14ac:dyDescent="0.25">
      <c r="C827" s="160"/>
      <c r="D827" s="160"/>
      <c r="E827" s="160"/>
    </row>
    <row r="828" spans="3:5" ht="13.2" x14ac:dyDescent="0.25">
      <c r="C828" s="160"/>
      <c r="D828" s="160"/>
      <c r="E828" s="160"/>
    </row>
    <row r="829" spans="3:5" ht="13.2" x14ac:dyDescent="0.25">
      <c r="C829" s="160"/>
      <c r="D829" s="160"/>
      <c r="E829" s="160"/>
    </row>
    <row r="830" spans="3:5" ht="13.2" x14ac:dyDescent="0.25">
      <c r="C830" s="160"/>
      <c r="D830" s="160"/>
      <c r="E830" s="160"/>
    </row>
    <row r="831" spans="3:5" ht="13.2" x14ac:dyDescent="0.25">
      <c r="C831" s="160"/>
      <c r="D831" s="160"/>
      <c r="E831" s="160"/>
    </row>
    <row r="832" spans="3:5" ht="13.2" x14ac:dyDescent="0.25">
      <c r="C832" s="160"/>
      <c r="D832" s="160"/>
      <c r="E832" s="160"/>
    </row>
    <row r="833" spans="3:5" ht="13.2" x14ac:dyDescent="0.25">
      <c r="C833" s="160"/>
      <c r="D833" s="160"/>
      <c r="E833" s="160"/>
    </row>
    <row r="834" spans="3:5" ht="13.2" x14ac:dyDescent="0.25">
      <c r="C834" s="160"/>
      <c r="D834" s="160"/>
      <c r="E834" s="160"/>
    </row>
    <row r="835" spans="3:5" ht="13.2" x14ac:dyDescent="0.25">
      <c r="C835" s="160"/>
      <c r="D835" s="160"/>
      <c r="E835" s="160"/>
    </row>
    <row r="836" spans="3:5" ht="13.2" x14ac:dyDescent="0.25">
      <c r="C836" s="160"/>
      <c r="D836" s="160"/>
      <c r="E836" s="160"/>
    </row>
    <row r="837" spans="3:5" ht="13.2" x14ac:dyDescent="0.25">
      <c r="C837" s="160"/>
      <c r="D837" s="160"/>
      <c r="E837" s="160"/>
    </row>
    <row r="838" spans="3:5" ht="13.2" x14ac:dyDescent="0.25">
      <c r="C838" s="160"/>
      <c r="D838" s="160"/>
      <c r="E838" s="160"/>
    </row>
    <row r="839" spans="3:5" ht="13.2" x14ac:dyDescent="0.25">
      <c r="C839" s="160"/>
      <c r="D839" s="160"/>
      <c r="E839" s="160"/>
    </row>
    <row r="840" spans="3:5" ht="13.2" x14ac:dyDescent="0.25">
      <c r="C840" s="160"/>
      <c r="D840" s="160"/>
      <c r="E840" s="160"/>
    </row>
    <row r="841" spans="3:5" ht="13.2" x14ac:dyDescent="0.25">
      <c r="C841" s="160"/>
      <c r="D841" s="160"/>
      <c r="E841" s="160"/>
    </row>
    <row r="842" spans="3:5" ht="13.2" x14ac:dyDescent="0.25">
      <c r="C842" s="160"/>
      <c r="D842" s="160"/>
      <c r="E842" s="160"/>
    </row>
    <row r="843" spans="3:5" ht="13.2" x14ac:dyDescent="0.25">
      <c r="C843" s="160"/>
      <c r="D843" s="160"/>
      <c r="E843" s="160"/>
    </row>
    <row r="844" spans="3:5" ht="13.2" x14ac:dyDescent="0.25">
      <c r="C844" s="160"/>
      <c r="D844" s="160"/>
      <c r="E844" s="160"/>
    </row>
    <row r="845" spans="3:5" ht="13.2" x14ac:dyDescent="0.25">
      <c r="C845" s="160"/>
      <c r="D845" s="160"/>
      <c r="E845" s="160"/>
    </row>
    <row r="846" spans="3:5" ht="13.2" x14ac:dyDescent="0.25">
      <c r="C846" s="160"/>
      <c r="D846" s="160"/>
      <c r="E846" s="160"/>
    </row>
    <row r="847" spans="3:5" ht="13.2" x14ac:dyDescent="0.25">
      <c r="C847" s="160"/>
      <c r="D847" s="160"/>
      <c r="E847" s="160"/>
    </row>
    <row r="848" spans="3:5" ht="13.2" x14ac:dyDescent="0.25">
      <c r="C848" s="160"/>
      <c r="D848" s="160"/>
      <c r="E848" s="160"/>
    </row>
    <row r="849" spans="3:5" ht="13.2" x14ac:dyDescent="0.25">
      <c r="C849" s="160"/>
      <c r="D849" s="160"/>
      <c r="E849" s="160"/>
    </row>
    <row r="850" spans="3:5" ht="13.2" x14ac:dyDescent="0.25">
      <c r="C850" s="160"/>
      <c r="D850" s="160"/>
      <c r="E850" s="160"/>
    </row>
    <row r="851" spans="3:5" ht="13.2" x14ac:dyDescent="0.25">
      <c r="C851" s="160"/>
      <c r="D851" s="160"/>
      <c r="E851" s="160"/>
    </row>
    <row r="852" spans="3:5" ht="13.2" x14ac:dyDescent="0.25">
      <c r="C852" s="160"/>
      <c r="D852" s="160"/>
      <c r="E852" s="160"/>
    </row>
    <row r="853" spans="3:5" ht="13.2" x14ac:dyDescent="0.25">
      <c r="C853" s="160"/>
      <c r="D853" s="160"/>
      <c r="E853" s="160"/>
    </row>
    <row r="854" spans="3:5" ht="13.2" x14ac:dyDescent="0.25">
      <c r="C854" s="160"/>
      <c r="D854" s="160"/>
      <c r="E854" s="160"/>
    </row>
    <row r="855" spans="3:5" ht="13.2" x14ac:dyDescent="0.25">
      <c r="C855" s="160"/>
      <c r="D855" s="160"/>
      <c r="E855" s="160"/>
    </row>
    <row r="856" spans="3:5" ht="13.2" x14ac:dyDescent="0.25">
      <c r="C856" s="160"/>
      <c r="D856" s="160"/>
      <c r="E856" s="160"/>
    </row>
    <row r="857" spans="3:5" ht="13.2" x14ac:dyDescent="0.25">
      <c r="C857" s="160"/>
      <c r="D857" s="160"/>
      <c r="E857" s="160"/>
    </row>
    <row r="858" spans="3:5" ht="13.2" x14ac:dyDescent="0.25">
      <c r="C858" s="160"/>
      <c r="D858" s="160"/>
      <c r="E858" s="160"/>
    </row>
    <row r="859" spans="3:5" ht="13.2" x14ac:dyDescent="0.25">
      <c r="C859" s="160"/>
      <c r="D859" s="160"/>
      <c r="E859" s="160"/>
    </row>
    <row r="860" spans="3:5" ht="13.2" x14ac:dyDescent="0.25">
      <c r="C860" s="160"/>
      <c r="D860" s="160"/>
      <c r="E860" s="160"/>
    </row>
    <row r="861" spans="3:5" ht="13.2" x14ac:dyDescent="0.25">
      <c r="C861" s="160"/>
      <c r="D861" s="160"/>
      <c r="E861" s="160"/>
    </row>
    <row r="862" spans="3:5" ht="13.2" x14ac:dyDescent="0.25">
      <c r="C862" s="160"/>
      <c r="D862" s="160"/>
      <c r="E862" s="160"/>
    </row>
    <row r="863" spans="3:5" ht="13.2" x14ac:dyDescent="0.25">
      <c r="C863" s="160"/>
      <c r="D863" s="160"/>
      <c r="E863" s="160"/>
    </row>
    <row r="864" spans="3:5" ht="13.2" x14ac:dyDescent="0.25">
      <c r="C864" s="160"/>
      <c r="D864" s="160"/>
      <c r="E864" s="160"/>
    </row>
    <row r="865" spans="3:5" ht="13.2" x14ac:dyDescent="0.25">
      <c r="C865" s="160"/>
      <c r="D865" s="160"/>
      <c r="E865" s="160"/>
    </row>
    <row r="866" spans="3:5" ht="13.2" x14ac:dyDescent="0.25">
      <c r="C866" s="160"/>
      <c r="D866" s="160"/>
      <c r="E866" s="160"/>
    </row>
    <row r="867" spans="3:5" ht="13.2" x14ac:dyDescent="0.25">
      <c r="C867" s="160"/>
      <c r="D867" s="160"/>
      <c r="E867" s="160"/>
    </row>
    <row r="868" spans="3:5" ht="13.2" x14ac:dyDescent="0.25">
      <c r="C868" s="160"/>
      <c r="D868" s="160"/>
      <c r="E868" s="160"/>
    </row>
    <row r="869" spans="3:5" ht="13.2" x14ac:dyDescent="0.25">
      <c r="C869" s="160"/>
      <c r="D869" s="160"/>
      <c r="E869" s="160"/>
    </row>
    <row r="870" spans="3:5" ht="13.2" x14ac:dyDescent="0.25">
      <c r="C870" s="160"/>
      <c r="D870" s="160"/>
      <c r="E870" s="160"/>
    </row>
    <row r="871" spans="3:5" ht="13.2" x14ac:dyDescent="0.25">
      <c r="C871" s="160"/>
      <c r="D871" s="160"/>
      <c r="E871" s="160"/>
    </row>
    <row r="872" spans="3:5" ht="13.2" x14ac:dyDescent="0.25">
      <c r="C872" s="160"/>
      <c r="D872" s="160"/>
      <c r="E872" s="160"/>
    </row>
    <row r="873" spans="3:5" ht="13.2" x14ac:dyDescent="0.25">
      <c r="C873" s="160"/>
      <c r="D873" s="160"/>
      <c r="E873" s="160"/>
    </row>
    <row r="874" spans="3:5" ht="13.2" x14ac:dyDescent="0.25">
      <c r="C874" s="160"/>
      <c r="D874" s="160"/>
      <c r="E874" s="160"/>
    </row>
    <row r="875" spans="3:5" ht="13.2" x14ac:dyDescent="0.25">
      <c r="C875" s="160"/>
      <c r="D875" s="160"/>
      <c r="E875" s="160"/>
    </row>
    <row r="876" spans="3:5" ht="13.2" x14ac:dyDescent="0.25">
      <c r="C876" s="160"/>
      <c r="D876" s="160"/>
      <c r="E876" s="160"/>
    </row>
    <row r="877" spans="3:5" ht="13.2" x14ac:dyDescent="0.25">
      <c r="C877" s="160"/>
      <c r="D877" s="160"/>
      <c r="E877" s="160"/>
    </row>
    <row r="878" spans="3:5" ht="13.2" x14ac:dyDescent="0.25">
      <c r="C878" s="160"/>
      <c r="D878" s="160"/>
      <c r="E878" s="160"/>
    </row>
    <row r="879" spans="3:5" ht="13.2" x14ac:dyDescent="0.25">
      <c r="C879" s="160"/>
      <c r="D879" s="160"/>
      <c r="E879" s="160"/>
    </row>
    <row r="880" spans="3:5" ht="13.2" x14ac:dyDescent="0.25">
      <c r="C880" s="160"/>
      <c r="D880" s="160"/>
      <c r="E880" s="160"/>
    </row>
    <row r="881" spans="3:5" ht="13.2" x14ac:dyDescent="0.25">
      <c r="C881" s="160"/>
      <c r="D881" s="160"/>
      <c r="E881" s="160"/>
    </row>
    <row r="882" spans="3:5" ht="13.2" x14ac:dyDescent="0.25">
      <c r="C882" s="160"/>
      <c r="D882" s="160"/>
      <c r="E882" s="160"/>
    </row>
    <row r="883" spans="3:5" ht="13.2" x14ac:dyDescent="0.25">
      <c r="C883" s="160"/>
      <c r="D883" s="160"/>
      <c r="E883" s="160"/>
    </row>
    <row r="884" spans="3:5" ht="13.2" x14ac:dyDescent="0.25">
      <c r="C884" s="160"/>
      <c r="D884" s="160"/>
      <c r="E884" s="160"/>
    </row>
    <row r="885" spans="3:5" ht="13.2" x14ac:dyDescent="0.25">
      <c r="C885" s="160"/>
      <c r="D885" s="160"/>
      <c r="E885" s="160"/>
    </row>
    <row r="886" spans="3:5" ht="13.2" x14ac:dyDescent="0.25">
      <c r="C886" s="160"/>
      <c r="D886" s="160"/>
      <c r="E886" s="160"/>
    </row>
    <row r="887" spans="3:5" ht="13.2" x14ac:dyDescent="0.25">
      <c r="C887" s="160"/>
      <c r="D887" s="160"/>
      <c r="E887" s="160"/>
    </row>
    <row r="888" spans="3:5" ht="13.2" x14ac:dyDescent="0.25">
      <c r="C888" s="160"/>
      <c r="D888" s="160"/>
      <c r="E888" s="160"/>
    </row>
    <row r="889" spans="3:5" ht="13.2" x14ac:dyDescent="0.25">
      <c r="C889" s="160"/>
      <c r="D889" s="160"/>
      <c r="E889" s="160"/>
    </row>
    <row r="890" spans="3:5" ht="13.2" x14ac:dyDescent="0.25">
      <c r="C890" s="160"/>
      <c r="D890" s="160"/>
      <c r="E890" s="160"/>
    </row>
    <row r="891" spans="3:5" ht="13.2" x14ac:dyDescent="0.25">
      <c r="C891" s="160"/>
      <c r="D891" s="160"/>
      <c r="E891" s="160"/>
    </row>
    <row r="892" spans="3:5" ht="13.2" x14ac:dyDescent="0.25">
      <c r="C892" s="160"/>
      <c r="D892" s="160"/>
      <c r="E892" s="160"/>
    </row>
    <row r="893" spans="3:5" ht="13.2" x14ac:dyDescent="0.25">
      <c r="C893" s="160"/>
      <c r="D893" s="160"/>
      <c r="E893" s="160"/>
    </row>
    <row r="894" spans="3:5" ht="13.2" x14ac:dyDescent="0.25">
      <c r="C894" s="160"/>
      <c r="D894" s="160"/>
      <c r="E894" s="160"/>
    </row>
    <row r="895" spans="3:5" ht="13.2" x14ac:dyDescent="0.25">
      <c r="C895" s="160"/>
      <c r="D895" s="160"/>
      <c r="E895" s="160"/>
    </row>
    <row r="896" spans="3:5" ht="13.2" x14ac:dyDescent="0.25">
      <c r="C896" s="160"/>
      <c r="D896" s="160"/>
      <c r="E896" s="160"/>
    </row>
    <row r="897" spans="3:5" ht="13.2" x14ac:dyDescent="0.25">
      <c r="C897" s="160"/>
      <c r="D897" s="160"/>
      <c r="E897" s="160"/>
    </row>
    <row r="898" spans="3:5" ht="13.2" x14ac:dyDescent="0.25">
      <c r="C898" s="160"/>
      <c r="D898" s="160"/>
      <c r="E898" s="160"/>
    </row>
    <row r="899" spans="3:5" ht="13.2" x14ac:dyDescent="0.25">
      <c r="C899" s="160"/>
      <c r="D899" s="160"/>
      <c r="E899" s="160"/>
    </row>
    <row r="900" spans="3:5" ht="13.2" x14ac:dyDescent="0.25">
      <c r="C900" s="160"/>
      <c r="D900" s="160"/>
      <c r="E900" s="160"/>
    </row>
    <row r="901" spans="3:5" ht="13.2" x14ac:dyDescent="0.25">
      <c r="C901" s="160"/>
      <c r="D901" s="160"/>
      <c r="E901" s="160"/>
    </row>
    <row r="902" spans="3:5" ht="13.2" x14ac:dyDescent="0.25">
      <c r="C902" s="160"/>
      <c r="D902" s="160"/>
      <c r="E902" s="160"/>
    </row>
    <row r="903" spans="3:5" ht="13.2" x14ac:dyDescent="0.25">
      <c r="C903" s="160"/>
      <c r="D903" s="160"/>
      <c r="E903" s="160"/>
    </row>
    <row r="904" spans="3:5" ht="13.2" x14ac:dyDescent="0.25">
      <c r="C904" s="160"/>
      <c r="D904" s="160"/>
      <c r="E904" s="160"/>
    </row>
    <row r="905" spans="3:5" ht="13.2" x14ac:dyDescent="0.25">
      <c r="C905" s="160"/>
      <c r="D905" s="160"/>
      <c r="E905" s="160"/>
    </row>
    <row r="906" spans="3:5" ht="13.2" x14ac:dyDescent="0.25">
      <c r="C906" s="160"/>
      <c r="D906" s="160"/>
      <c r="E906" s="160"/>
    </row>
    <row r="907" spans="3:5" ht="13.2" x14ac:dyDescent="0.25">
      <c r="C907" s="160"/>
      <c r="D907" s="160"/>
      <c r="E907" s="160"/>
    </row>
    <row r="908" spans="3:5" ht="13.2" x14ac:dyDescent="0.25">
      <c r="C908" s="160"/>
      <c r="D908" s="160"/>
      <c r="E908" s="160"/>
    </row>
    <row r="909" spans="3:5" ht="13.2" x14ac:dyDescent="0.25">
      <c r="C909" s="160"/>
      <c r="D909" s="160"/>
      <c r="E909" s="160"/>
    </row>
    <row r="910" spans="3:5" ht="13.2" x14ac:dyDescent="0.25">
      <c r="C910" s="160"/>
      <c r="D910" s="160"/>
      <c r="E910" s="160"/>
    </row>
    <row r="911" spans="3:5" ht="13.2" x14ac:dyDescent="0.25">
      <c r="C911" s="160"/>
      <c r="D911" s="160"/>
      <c r="E911" s="160"/>
    </row>
    <row r="912" spans="3:5" ht="13.2" x14ac:dyDescent="0.25">
      <c r="C912" s="160"/>
      <c r="D912" s="160"/>
      <c r="E912" s="160"/>
    </row>
    <row r="913" spans="3:5" ht="13.2" x14ac:dyDescent="0.25">
      <c r="C913" s="160"/>
      <c r="D913" s="160"/>
      <c r="E913" s="160"/>
    </row>
    <row r="914" spans="3:5" ht="13.2" x14ac:dyDescent="0.25">
      <c r="C914" s="160"/>
      <c r="D914" s="160"/>
      <c r="E914" s="160"/>
    </row>
    <row r="915" spans="3:5" ht="13.2" x14ac:dyDescent="0.25">
      <c r="C915" s="160"/>
      <c r="D915" s="160"/>
      <c r="E915" s="160"/>
    </row>
    <row r="916" spans="3:5" ht="13.2" x14ac:dyDescent="0.25">
      <c r="C916" s="160"/>
      <c r="D916" s="160"/>
      <c r="E916" s="160"/>
    </row>
    <row r="917" spans="3:5" ht="13.2" x14ac:dyDescent="0.25">
      <c r="C917" s="160"/>
      <c r="D917" s="160"/>
      <c r="E917" s="160"/>
    </row>
    <row r="918" spans="3:5" ht="13.2" x14ac:dyDescent="0.25">
      <c r="C918" s="160"/>
      <c r="D918" s="160"/>
      <c r="E918" s="160"/>
    </row>
    <row r="919" spans="3:5" ht="13.2" x14ac:dyDescent="0.25">
      <c r="C919" s="160"/>
      <c r="D919" s="160"/>
      <c r="E919" s="160"/>
    </row>
    <row r="920" spans="3:5" ht="13.2" x14ac:dyDescent="0.25">
      <c r="C920" s="160"/>
      <c r="D920" s="160"/>
      <c r="E920" s="160"/>
    </row>
    <row r="921" spans="3:5" ht="13.2" x14ac:dyDescent="0.25">
      <c r="C921" s="160"/>
      <c r="D921" s="160"/>
      <c r="E921" s="160"/>
    </row>
    <row r="922" spans="3:5" ht="13.2" x14ac:dyDescent="0.25">
      <c r="C922" s="160"/>
      <c r="D922" s="160"/>
      <c r="E922" s="160"/>
    </row>
    <row r="923" spans="3:5" ht="13.2" x14ac:dyDescent="0.25">
      <c r="C923" s="160"/>
      <c r="D923" s="160"/>
      <c r="E923" s="160"/>
    </row>
    <row r="924" spans="3:5" ht="13.2" x14ac:dyDescent="0.25">
      <c r="C924" s="160"/>
      <c r="D924" s="160"/>
      <c r="E924" s="160"/>
    </row>
    <row r="925" spans="3:5" ht="13.2" x14ac:dyDescent="0.25">
      <c r="C925" s="160"/>
      <c r="D925" s="160"/>
      <c r="E925" s="160"/>
    </row>
    <row r="926" spans="3:5" ht="13.2" x14ac:dyDescent="0.25">
      <c r="C926" s="160"/>
      <c r="D926" s="160"/>
      <c r="E926" s="160"/>
    </row>
    <row r="927" spans="3:5" ht="13.2" x14ac:dyDescent="0.25">
      <c r="C927" s="160"/>
      <c r="D927" s="160"/>
      <c r="E927" s="160"/>
    </row>
    <row r="928" spans="3:5" ht="13.2" x14ac:dyDescent="0.25">
      <c r="C928" s="160"/>
      <c r="D928" s="160"/>
      <c r="E928" s="160"/>
    </row>
    <row r="929" spans="3:5" ht="13.2" x14ac:dyDescent="0.25">
      <c r="C929" s="160"/>
      <c r="D929" s="160"/>
      <c r="E929" s="160"/>
    </row>
    <row r="930" spans="3:5" ht="13.2" x14ac:dyDescent="0.25">
      <c r="C930" s="160"/>
      <c r="D930" s="160"/>
      <c r="E930" s="160"/>
    </row>
    <row r="931" spans="3:5" ht="13.2" x14ac:dyDescent="0.25">
      <c r="C931" s="160"/>
      <c r="D931" s="160"/>
      <c r="E931" s="160"/>
    </row>
    <row r="932" spans="3:5" ht="13.2" x14ac:dyDescent="0.25">
      <c r="C932" s="160"/>
      <c r="D932" s="160"/>
      <c r="E932" s="160"/>
    </row>
    <row r="933" spans="3:5" ht="13.2" x14ac:dyDescent="0.25">
      <c r="C933" s="160"/>
      <c r="D933" s="160"/>
      <c r="E933" s="160"/>
    </row>
    <row r="934" spans="3:5" ht="13.2" x14ac:dyDescent="0.25">
      <c r="C934" s="160"/>
      <c r="D934" s="160"/>
      <c r="E934" s="160"/>
    </row>
    <row r="935" spans="3:5" ht="13.2" x14ac:dyDescent="0.25">
      <c r="C935" s="160"/>
      <c r="D935" s="160"/>
      <c r="E935" s="160"/>
    </row>
    <row r="936" spans="3:5" ht="13.2" x14ac:dyDescent="0.25">
      <c r="C936" s="160"/>
      <c r="D936" s="160"/>
      <c r="E936" s="160"/>
    </row>
    <row r="937" spans="3:5" ht="13.2" x14ac:dyDescent="0.25">
      <c r="C937" s="160"/>
      <c r="D937" s="160"/>
      <c r="E937" s="160"/>
    </row>
    <row r="938" spans="3:5" ht="13.2" x14ac:dyDescent="0.25">
      <c r="C938" s="160"/>
      <c r="D938" s="160"/>
      <c r="E938" s="160"/>
    </row>
    <row r="939" spans="3:5" ht="13.2" x14ac:dyDescent="0.25">
      <c r="C939" s="160"/>
      <c r="D939" s="160"/>
      <c r="E939" s="160"/>
    </row>
    <row r="940" spans="3:5" ht="13.2" x14ac:dyDescent="0.25">
      <c r="C940" s="160"/>
      <c r="D940" s="160"/>
      <c r="E940" s="160"/>
    </row>
    <row r="941" spans="3:5" ht="13.2" x14ac:dyDescent="0.25">
      <c r="C941" s="160"/>
      <c r="D941" s="160"/>
      <c r="E941" s="160"/>
    </row>
    <row r="942" spans="3:5" ht="13.2" x14ac:dyDescent="0.25">
      <c r="C942" s="160"/>
      <c r="D942" s="160"/>
      <c r="E942" s="160"/>
    </row>
    <row r="943" spans="3:5" ht="13.2" x14ac:dyDescent="0.25">
      <c r="C943" s="160"/>
      <c r="D943" s="160"/>
      <c r="E943" s="160"/>
    </row>
    <row r="944" spans="3:5" ht="13.2" x14ac:dyDescent="0.25">
      <c r="C944" s="160"/>
      <c r="D944" s="160"/>
      <c r="E944" s="160"/>
    </row>
    <row r="945" spans="3:5" ht="13.2" x14ac:dyDescent="0.25">
      <c r="C945" s="160"/>
      <c r="D945" s="160"/>
      <c r="E945" s="160"/>
    </row>
    <row r="946" spans="3:5" ht="13.2" x14ac:dyDescent="0.25">
      <c r="C946" s="160"/>
      <c r="D946" s="160"/>
      <c r="E946" s="160"/>
    </row>
    <row r="947" spans="3:5" ht="13.2" x14ac:dyDescent="0.25">
      <c r="C947" s="160"/>
      <c r="D947" s="160"/>
      <c r="E947" s="160"/>
    </row>
    <row r="948" spans="3:5" ht="13.2" x14ac:dyDescent="0.25">
      <c r="C948" s="160"/>
      <c r="D948" s="160"/>
      <c r="E948" s="160"/>
    </row>
    <row r="949" spans="3:5" ht="13.2" x14ac:dyDescent="0.25">
      <c r="C949" s="160"/>
      <c r="D949" s="160"/>
      <c r="E949" s="160"/>
    </row>
    <row r="950" spans="3:5" ht="13.2" x14ac:dyDescent="0.25">
      <c r="C950" s="160"/>
      <c r="D950" s="160"/>
      <c r="E950" s="160"/>
    </row>
    <row r="951" spans="3:5" ht="13.2" x14ac:dyDescent="0.25">
      <c r="C951" s="160"/>
      <c r="D951" s="160"/>
      <c r="E951" s="160"/>
    </row>
    <row r="952" spans="3:5" ht="13.2" x14ac:dyDescent="0.25">
      <c r="C952" s="160"/>
      <c r="D952" s="160"/>
      <c r="E952" s="160"/>
    </row>
    <row r="953" spans="3:5" ht="13.2" x14ac:dyDescent="0.25">
      <c r="C953" s="160"/>
      <c r="D953" s="160"/>
      <c r="E953" s="160"/>
    </row>
    <row r="954" spans="3:5" ht="13.2" x14ac:dyDescent="0.25">
      <c r="C954" s="160"/>
      <c r="D954" s="160"/>
      <c r="E954" s="160"/>
    </row>
    <row r="955" spans="3:5" ht="13.2" x14ac:dyDescent="0.25">
      <c r="C955" s="160"/>
      <c r="D955" s="160"/>
      <c r="E955" s="160"/>
    </row>
    <row r="956" spans="3:5" ht="13.2" x14ac:dyDescent="0.25">
      <c r="C956" s="160"/>
      <c r="D956" s="160"/>
      <c r="E956" s="160"/>
    </row>
    <row r="957" spans="3:5" ht="13.2" x14ac:dyDescent="0.25">
      <c r="C957" s="160"/>
      <c r="D957" s="160"/>
      <c r="E957" s="160"/>
    </row>
    <row r="958" spans="3:5" ht="13.2" x14ac:dyDescent="0.25">
      <c r="C958" s="160"/>
      <c r="D958" s="160"/>
      <c r="E958" s="160"/>
    </row>
    <row r="959" spans="3:5" ht="13.2" x14ac:dyDescent="0.25">
      <c r="C959" s="160"/>
      <c r="D959" s="160"/>
      <c r="E959" s="160"/>
    </row>
    <row r="960" spans="3:5" ht="13.2" x14ac:dyDescent="0.25">
      <c r="C960" s="160"/>
      <c r="D960" s="160"/>
      <c r="E960" s="160"/>
    </row>
    <row r="961" spans="3:5" ht="13.2" x14ac:dyDescent="0.25">
      <c r="C961" s="160"/>
      <c r="D961" s="160"/>
      <c r="E961" s="160"/>
    </row>
    <row r="962" spans="3:5" ht="13.2" x14ac:dyDescent="0.25">
      <c r="C962" s="160"/>
      <c r="D962" s="160"/>
      <c r="E962" s="160"/>
    </row>
    <row r="963" spans="3:5" ht="13.2" x14ac:dyDescent="0.25">
      <c r="C963" s="160"/>
      <c r="D963" s="160"/>
      <c r="E963" s="160"/>
    </row>
    <row r="964" spans="3:5" ht="13.2" x14ac:dyDescent="0.25">
      <c r="C964" s="160"/>
      <c r="D964" s="160"/>
      <c r="E964" s="160"/>
    </row>
    <row r="965" spans="3:5" ht="13.2" x14ac:dyDescent="0.25">
      <c r="C965" s="160"/>
      <c r="D965" s="160"/>
      <c r="E965" s="160"/>
    </row>
    <row r="966" spans="3:5" ht="13.2" x14ac:dyDescent="0.25">
      <c r="C966" s="160"/>
      <c r="D966" s="160"/>
      <c r="E966" s="160"/>
    </row>
    <row r="967" spans="3:5" ht="13.2" x14ac:dyDescent="0.25">
      <c r="C967" s="160"/>
      <c r="D967" s="160"/>
      <c r="E967" s="160"/>
    </row>
    <row r="968" spans="3:5" ht="13.2" x14ac:dyDescent="0.25">
      <c r="C968" s="160"/>
      <c r="D968" s="160"/>
      <c r="E968" s="160"/>
    </row>
    <row r="969" spans="3:5" ht="13.2" x14ac:dyDescent="0.25">
      <c r="C969" s="160"/>
      <c r="D969" s="160"/>
      <c r="E969" s="160"/>
    </row>
    <row r="970" spans="3:5" ht="13.2" x14ac:dyDescent="0.25">
      <c r="C970" s="160"/>
      <c r="D970" s="160"/>
      <c r="E970" s="160"/>
    </row>
    <row r="971" spans="3:5" ht="13.2" x14ac:dyDescent="0.25">
      <c r="C971" s="160"/>
      <c r="D971" s="160"/>
      <c r="E971" s="160"/>
    </row>
    <row r="972" spans="3:5" ht="13.2" x14ac:dyDescent="0.25">
      <c r="C972" s="160"/>
      <c r="D972" s="160"/>
      <c r="E972" s="160"/>
    </row>
    <row r="973" spans="3:5" ht="13.2" x14ac:dyDescent="0.25">
      <c r="C973" s="160"/>
      <c r="D973" s="160"/>
      <c r="E973" s="160"/>
    </row>
    <row r="974" spans="3:5" ht="13.2" x14ac:dyDescent="0.25">
      <c r="C974" s="160"/>
      <c r="D974" s="160"/>
      <c r="E974" s="160"/>
    </row>
    <row r="975" spans="3:5" ht="13.2" x14ac:dyDescent="0.25">
      <c r="C975" s="160"/>
      <c r="D975" s="160"/>
      <c r="E975" s="160"/>
    </row>
    <row r="976" spans="3:5" ht="13.2" x14ac:dyDescent="0.25">
      <c r="C976" s="160"/>
      <c r="D976" s="160"/>
      <c r="E976" s="160"/>
    </row>
    <row r="977" spans="3:5" ht="13.2" x14ac:dyDescent="0.25">
      <c r="C977" s="160"/>
      <c r="D977" s="160"/>
      <c r="E977" s="160"/>
    </row>
    <row r="978" spans="3:5" ht="13.2" x14ac:dyDescent="0.25">
      <c r="C978" s="160"/>
      <c r="D978" s="160"/>
      <c r="E978" s="160"/>
    </row>
    <row r="979" spans="3:5" ht="13.2" x14ac:dyDescent="0.25">
      <c r="C979" s="160"/>
      <c r="D979" s="160"/>
      <c r="E979" s="160"/>
    </row>
    <row r="980" spans="3:5" ht="13.2" x14ac:dyDescent="0.25">
      <c r="C980" s="160"/>
      <c r="D980" s="160"/>
      <c r="E980" s="160"/>
    </row>
    <row r="981" spans="3:5" ht="13.2" x14ac:dyDescent="0.25">
      <c r="C981" s="160"/>
      <c r="D981" s="160"/>
      <c r="E981" s="160"/>
    </row>
    <row r="982" spans="3:5" ht="13.2" x14ac:dyDescent="0.25">
      <c r="C982" s="160"/>
      <c r="D982" s="160"/>
      <c r="E982" s="160"/>
    </row>
    <row r="983" spans="3:5" ht="13.2" x14ac:dyDescent="0.25">
      <c r="C983" s="160"/>
      <c r="D983" s="160"/>
      <c r="E983" s="160"/>
    </row>
    <row r="984" spans="3:5" ht="13.2" x14ac:dyDescent="0.25">
      <c r="C984" s="160"/>
      <c r="D984" s="160"/>
      <c r="E984" s="160"/>
    </row>
    <row r="985" spans="3:5" ht="13.2" x14ac:dyDescent="0.25">
      <c r="C985" s="160"/>
      <c r="D985" s="160"/>
      <c r="E985" s="160"/>
    </row>
    <row r="986" spans="3:5" ht="13.2" x14ac:dyDescent="0.25">
      <c r="C986" s="160"/>
      <c r="D986" s="160"/>
      <c r="E986" s="160"/>
    </row>
    <row r="987" spans="3:5" ht="13.2" x14ac:dyDescent="0.25">
      <c r="C987" s="160"/>
      <c r="D987" s="160"/>
      <c r="E987" s="160"/>
    </row>
    <row r="988" spans="3:5" ht="13.2" x14ac:dyDescent="0.25">
      <c r="C988" s="160"/>
      <c r="D988" s="160"/>
      <c r="E988" s="160"/>
    </row>
    <row r="989" spans="3:5" ht="13.2" x14ac:dyDescent="0.25">
      <c r="C989" s="160"/>
      <c r="D989" s="160"/>
      <c r="E989" s="160"/>
    </row>
    <row r="990" spans="3:5" ht="13.2" x14ac:dyDescent="0.25">
      <c r="C990" s="160"/>
      <c r="D990" s="160"/>
      <c r="E990" s="160"/>
    </row>
    <row r="991" spans="3:5" ht="13.2" x14ac:dyDescent="0.25">
      <c r="C991" s="160"/>
      <c r="D991" s="160"/>
      <c r="E991" s="160"/>
    </row>
    <row r="992" spans="3:5" ht="13.2" x14ac:dyDescent="0.25">
      <c r="C992" s="160"/>
      <c r="D992" s="160"/>
      <c r="E992" s="160"/>
    </row>
    <row r="993" spans="3:5" ht="13.2" x14ac:dyDescent="0.25">
      <c r="C993" s="160"/>
      <c r="D993" s="160"/>
      <c r="E993" s="160"/>
    </row>
    <row r="994" spans="3:5" ht="13.2" x14ac:dyDescent="0.25">
      <c r="C994" s="160"/>
      <c r="D994" s="160"/>
      <c r="E994" s="160"/>
    </row>
    <row r="995" spans="3:5" ht="13.2" x14ac:dyDescent="0.25">
      <c r="C995" s="160"/>
      <c r="D995" s="160"/>
      <c r="E995" s="160"/>
    </row>
    <row r="996" spans="3:5" ht="13.2" x14ac:dyDescent="0.25">
      <c r="C996" s="160"/>
      <c r="D996" s="160"/>
      <c r="E996" s="160"/>
    </row>
    <row r="997" spans="3:5" ht="13.2" x14ac:dyDescent="0.25">
      <c r="C997" s="160"/>
      <c r="D997" s="160"/>
      <c r="E997" s="160"/>
    </row>
  </sheetData>
  <dataValidations count="1">
    <dataValidation type="custom" allowBlank="1" showDropDown="1" sqref="C2:E36" xr:uid="{00000000-0002-0000-10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3.21875" customWidth="1"/>
    <col min="2" max="2" width="6.21875" customWidth="1"/>
    <col min="3" max="3" width="17.88671875" customWidth="1"/>
    <col min="4" max="4" width="18.77734375" customWidth="1"/>
    <col min="5" max="5" width="16.33203125" customWidth="1"/>
    <col min="6" max="6" width="15.44140625" customWidth="1"/>
  </cols>
  <sheetData>
    <row r="1" spans="1:6" ht="30" customHeight="1" x14ac:dyDescent="0.25">
      <c r="A1" s="160"/>
      <c r="B1" s="1" t="s">
        <v>179</v>
      </c>
      <c r="C1" s="1" t="s">
        <v>180</v>
      </c>
      <c r="D1" s="1" t="s">
        <v>181</v>
      </c>
      <c r="E1" s="1" t="s">
        <v>182</v>
      </c>
      <c r="F1" s="2" t="s">
        <v>183</v>
      </c>
    </row>
    <row r="2" spans="1:6" ht="22.5" customHeight="1" x14ac:dyDescent="0.25">
      <c r="A2" s="160"/>
      <c r="B2" s="106">
        <v>1</v>
      </c>
      <c r="C2" s="162">
        <v>577750.02</v>
      </c>
      <c r="D2" s="162">
        <v>462500.06</v>
      </c>
      <c r="E2" s="194">
        <f t="shared" ref="E2:E22" si="0">D2+C2</f>
        <v>1040250.0800000001</v>
      </c>
      <c r="F2" s="195" t="s">
        <v>210</v>
      </c>
    </row>
    <row r="3" spans="1:6" ht="22.5" customHeight="1" x14ac:dyDescent="0.25">
      <c r="A3" s="160"/>
      <c r="B3" s="68">
        <v>2</v>
      </c>
      <c r="C3" s="163">
        <v>462100.02</v>
      </c>
      <c r="D3" s="163">
        <v>292500</v>
      </c>
      <c r="E3" s="164">
        <f t="shared" si="0"/>
        <v>754600.02</v>
      </c>
      <c r="F3" s="195" t="s">
        <v>211</v>
      </c>
    </row>
    <row r="4" spans="1:6" ht="22.5" customHeight="1" x14ac:dyDescent="0.25">
      <c r="A4" s="160"/>
      <c r="B4" s="68">
        <v>3</v>
      </c>
      <c r="C4" s="163">
        <v>547250.05000000005</v>
      </c>
      <c r="D4" s="163">
        <v>743000.06</v>
      </c>
      <c r="E4" s="164">
        <f t="shared" si="0"/>
        <v>1290250.1100000001</v>
      </c>
      <c r="F4" s="195" t="s">
        <v>212</v>
      </c>
    </row>
    <row r="5" spans="1:6" ht="22.5" customHeight="1" x14ac:dyDescent="0.25">
      <c r="A5" s="160"/>
      <c r="B5" s="68">
        <v>4</v>
      </c>
      <c r="C5" s="163">
        <v>509500.01</v>
      </c>
      <c r="D5" s="163">
        <v>733060.07</v>
      </c>
      <c r="E5" s="164">
        <f t="shared" si="0"/>
        <v>1242560.08</v>
      </c>
      <c r="F5" s="195" t="s">
        <v>213</v>
      </c>
    </row>
    <row r="6" spans="1:6" ht="22.5" customHeight="1" x14ac:dyDescent="0.25">
      <c r="A6" s="160"/>
      <c r="B6" s="68">
        <v>5</v>
      </c>
      <c r="C6" s="163">
        <v>848350.04</v>
      </c>
      <c r="D6" s="163">
        <v>806490.04</v>
      </c>
      <c r="E6" s="164">
        <f t="shared" si="0"/>
        <v>1654840.08</v>
      </c>
      <c r="F6" s="195" t="s">
        <v>214</v>
      </c>
    </row>
    <row r="7" spans="1:6" ht="22.5" customHeight="1" x14ac:dyDescent="0.25">
      <c r="A7" s="160"/>
      <c r="B7" s="68">
        <v>6</v>
      </c>
      <c r="C7" s="163">
        <v>891800.11</v>
      </c>
      <c r="D7" s="163">
        <v>423890.01</v>
      </c>
      <c r="E7" s="164">
        <f t="shared" si="0"/>
        <v>1315690.1200000001</v>
      </c>
      <c r="F7" s="195" t="s">
        <v>215</v>
      </c>
    </row>
    <row r="8" spans="1:6" ht="22.5" customHeight="1" x14ac:dyDescent="0.25">
      <c r="A8" s="160"/>
      <c r="B8" s="68">
        <v>7</v>
      </c>
      <c r="C8" s="163">
        <v>539580.06999999995</v>
      </c>
      <c r="D8" s="163">
        <v>290000.03000000003</v>
      </c>
      <c r="E8" s="164">
        <f t="shared" si="0"/>
        <v>829580.1</v>
      </c>
      <c r="F8" s="195" t="s">
        <v>216</v>
      </c>
    </row>
    <row r="9" spans="1:6" ht="22.5" customHeight="1" x14ac:dyDescent="0.25">
      <c r="A9" s="160"/>
      <c r="B9" s="68">
        <v>8</v>
      </c>
      <c r="C9" s="163">
        <v>409950.02</v>
      </c>
      <c r="D9" s="163">
        <v>516800.02</v>
      </c>
      <c r="E9" s="164">
        <f t="shared" si="0"/>
        <v>926750.04</v>
      </c>
      <c r="F9" s="195" t="s">
        <v>210</v>
      </c>
    </row>
    <row r="10" spans="1:6" ht="22.5" customHeight="1" x14ac:dyDescent="0.25">
      <c r="A10" s="160"/>
      <c r="B10" s="68">
        <v>9</v>
      </c>
      <c r="C10" s="163">
        <v>444050.03</v>
      </c>
      <c r="D10" s="163">
        <v>594600.03</v>
      </c>
      <c r="E10" s="164">
        <f t="shared" si="0"/>
        <v>1038650.06</v>
      </c>
      <c r="F10" s="195" t="s">
        <v>211</v>
      </c>
    </row>
    <row r="11" spans="1:6" ht="22.5" customHeight="1" x14ac:dyDescent="0.25">
      <c r="A11" s="160"/>
      <c r="B11" s="68">
        <v>10</v>
      </c>
      <c r="C11" s="163">
        <v>327300.03000000003</v>
      </c>
      <c r="D11" s="163">
        <v>277100</v>
      </c>
      <c r="E11" s="164">
        <f t="shared" si="0"/>
        <v>604400.03</v>
      </c>
      <c r="F11" s="195" t="s">
        <v>212</v>
      </c>
    </row>
    <row r="12" spans="1:6" ht="22.5" customHeight="1" x14ac:dyDescent="0.25">
      <c r="A12" s="160"/>
      <c r="B12" s="68">
        <v>11</v>
      </c>
      <c r="C12" s="163">
        <v>369700.01</v>
      </c>
      <c r="D12" s="163">
        <v>554032.03</v>
      </c>
      <c r="E12" s="164">
        <f t="shared" si="0"/>
        <v>923732.04</v>
      </c>
      <c r="F12" s="195" t="s">
        <v>213</v>
      </c>
    </row>
    <row r="13" spans="1:6" ht="22.5" customHeight="1" x14ac:dyDescent="0.25">
      <c r="A13" s="160"/>
      <c r="B13" s="68">
        <v>12</v>
      </c>
      <c r="C13" s="163">
        <v>315150.01</v>
      </c>
      <c r="D13" s="163">
        <v>544750.03</v>
      </c>
      <c r="E13" s="164">
        <f t="shared" si="0"/>
        <v>859900.04</v>
      </c>
      <c r="F13" s="195" t="s">
        <v>214</v>
      </c>
    </row>
    <row r="14" spans="1:6" ht="22.5" customHeight="1" x14ac:dyDescent="0.25">
      <c r="A14" s="160"/>
      <c r="B14" s="68">
        <v>13</v>
      </c>
      <c r="C14" s="163">
        <v>358000</v>
      </c>
      <c r="D14" s="163">
        <v>258500.01</v>
      </c>
      <c r="E14" s="164">
        <f t="shared" si="0"/>
        <v>616500.01</v>
      </c>
      <c r="F14" s="195" t="s">
        <v>215</v>
      </c>
    </row>
    <row r="15" spans="1:6" ht="22.5" customHeight="1" x14ac:dyDescent="0.25">
      <c r="A15" s="160"/>
      <c r="B15" s="68">
        <v>14</v>
      </c>
      <c r="C15" s="163">
        <v>461000.02</v>
      </c>
      <c r="D15" s="163">
        <v>285400.01</v>
      </c>
      <c r="E15" s="164">
        <f t="shared" si="0"/>
        <v>746400.03</v>
      </c>
      <c r="F15" s="195" t="s">
        <v>216</v>
      </c>
    </row>
    <row r="16" spans="1:6" ht="22.5" customHeight="1" x14ac:dyDescent="0.25">
      <c r="A16" s="160"/>
      <c r="B16" s="68">
        <v>15</v>
      </c>
      <c r="C16" s="163">
        <v>533400.02</v>
      </c>
      <c r="D16" s="163">
        <v>281100.01</v>
      </c>
      <c r="E16" s="164">
        <f t="shared" si="0"/>
        <v>814500.03</v>
      </c>
      <c r="F16" s="195" t="s">
        <v>210</v>
      </c>
    </row>
    <row r="17" spans="1:6" ht="22.5" customHeight="1" x14ac:dyDescent="0.25">
      <c r="A17" s="160"/>
      <c r="B17" s="68">
        <v>16</v>
      </c>
      <c r="C17" s="163">
        <v>248900</v>
      </c>
      <c r="D17" s="163">
        <v>206100</v>
      </c>
      <c r="E17" s="164">
        <f t="shared" si="0"/>
        <v>455000</v>
      </c>
      <c r="F17" s="195" t="s">
        <v>211</v>
      </c>
    </row>
    <row r="18" spans="1:6" ht="22.5" customHeight="1" x14ac:dyDescent="0.25">
      <c r="A18" s="160"/>
      <c r="B18" s="68">
        <v>17</v>
      </c>
      <c r="C18" s="163">
        <v>322300</v>
      </c>
      <c r="D18" s="163">
        <v>583400.04</v>
      </c>
      <c r="E18" s="164">
        <f t="shared" si="0"/>
        <v>905700.04</v>
      </c>
      <c r="F18" s="195" t="s">
        <v>212</v>
      </c>
    </row>
    <row r="19" spans="1:6" ht="22.5" customHeight="1" x14ac:dyDescent="0.25">
      <c r="A19" s="160"/>
      <c r="B19" s="68">
        <v>18</v>
      </c>
      <c r="C19" s="163">
        <v>279690.01</v>
      </c>
      <c r="D19" s="163">
        <v>637100.06000000006</v>
      </c>
      <c r="E19" s="164">
        <f t="shared" si="0"/>
        <v>916790.07000000007</v>
      </c>
      <c r="F19" s="195" t="s">
        <v>213</v>
      </c>
    </row>
    <row r="20" spans="1:6" ht="22.5" customHeight="1" x14ac:dyDescent="0.25">
      <c r="A20" s="160"/>
      <c r="B20" s="68">
        <v>19</v>
      </c>
      <c r="C20" s="163">
        <v>427400.05</v>
      </c>
      <c r="D20" s="163">
        <v>326300.01</v>
      </c>
      <c r="E20" s="164">
        <f t="shared" si="0"/>
        <v>753700.06</v>
      </c>
      <c r="F20" s="195" t="s">
        <v>214</v>
      </c>
    </row>
    <row r="21" spans="1:6" ht="22.5" customHeight="1" x14ac:dyDescent="0.25">
      <c r="A21" s="160"/>
      <c r="B21" s="68">
        <v>20</v>
      </c>
      <c r="C21" s="163">
        <v>546650</v>
      </c>
      <c r="D21" s="163">
        <v>559600.01</v>
      </c>
      <c r="E21" s="164">
        <f t="shared" si="0"/>
        <v>1106250.01</v>
      </c>
      <c r="F21" s="195" t="s">
        <v>215</v>
      </c>
    </row>
    <row r="22" spans="1:6" ht="22.5" customHeight="1" x14ac:dyDescent="0.25">
      <c r="A22" s="160"/>
      <c r="B22" s="68">
        <v>21</v>
      </c>
      <c r="C22" s="163">
        <v>342400.01</v>
      </c>
      <c r="D22" s="163">
        <v>471300</v>
      </c>
      <c r="E22" s="164">
        <f t="shared" si="0"/>
        <v>813700.01</v>
      </c>
      <c r="F22" s="195" t="s">
        <v>216</v>
      </c>
    </row>
    <row r="23" spans="1:6" ht="22.5" customHeight="1" x14ac:dyDescent="0.25">
      <c r="A23" s="160"/>
      <c r="B23" s="68">
        <v>22</v>
      </c>
      <c r="C23" s="163">
        <v>416800.01</v>
      </c>
      <c r="D23" s="163">
        <v>185230</v>
      </c>
      <c r="E23" s="164">
        <f>C23+D23</f>
        <v>602030.01</v>
      </c>
      <c r="F23" s="195" t="s">
        <v>210</v>
      </c>
    </row>
    <row r="24" spans="1:6" ht="22.5" customHeight="1" x14ac:dyDescent="0.25">
      <c r="A24" s="160"/>
      <c r="B24" s="68">
        <v>23</v>
      </c>
      <c r="C24" s="163">
        <v>174200.01</v>
      </c>
      <c r="D24" s="163">
        <v>292200.01</v>
      </c>
      <c r="E24" s="164">
        <f t="shared" ref="E24:E25" si="1">D24+C24</f>
        <v>466400.02</v>
      </c>
      <c r="F24" s="195" t="s">
        <v>211</v>
      </c>
    </row>
    <row r="25" spans="1:6" ht="22.5" customHeight="1" x14ac:dyDescent="0.25">
      <c r="A25" s="160"/>
      <c r="B25" s="68">
        <v>24</v>
      </c>
      <c r="C25" s="163">
        <v>633350.06999999995</v>
      </c>
      <c r="D25" s="163">
        <v>311900.01</v>
      </c>
      <c r="E25" s="164">
        <f t="shared" si="1"/>
        <v>945250.08</v>
      </c>
      <c r="F25" s="195" t="s">
        <v>212</v>
      </c>
    </row>
    <row r="26" spans="1:6" ht="22.5" customHeight="1" x14ac:dyDescent="0.25">
      <c r="A26" s="160"/>
      <c r="B26" s="68">
        <v>25</v>
      </c>
      <c r="C26" s="163">
        <v>388400.01</v>
      </c>
      <c r="D26" s="163">
        <v>735200.01</v>
      </c>
      <c r="E26" s="164">
        <f t="shared" ref="E26:E32" si="2">C26+D26</f>
        <v>1123600.02</v>
      </c>
      <c r="F26" s="195" t="s">
        <v>213</v>
      </c>
    </row>
    <row r="27" spans="1:6" ht="22.5" customHeight="1" x14ac:dyDescent="0.25">
      <c r="A27" s="160"/>
      <c r="B27" s="68">
        <v>26</v>
      </c>
      <c r="C27" s="163">
        <v>480700.03</v>
      </c>
      <c r="D27" s="163">
        <v>434400</v>
      </c>
      <c r="E27" s="164">
        <f t="shared" si="2"/>
        <v>915100.03</v>
      </c>
      <c r="F27" s="195" t="s">
        <v>214</v>
      </c>
    </row>
    <row r="28" spans="1:6" ht="22.5" customHeight="1" x14ac:dyDescent="0.25">
      <c r="A28" s="160"/>
      <c r="B28" s="68">
        <v>27</v>
      </c>
      <c r="C28" s="163">
        <v>167100.01</v>
      </c>
      <c r="D28" s="163">
        <v>466500</v>
      </c>
      <c r="E28" s="164">
        <f t="shared" si="2"/>
        <v>633600.01</v>
      </c>
      <c r="F28" s="195" t="s">
        <v>215</v>
      </c>
    </row>
    <row r="29" spans="1:6" ht="22.5" customHeight="1" x14ac:dyDescent="0.25">
      <c r="A29" s="160"/>
      <c r="B29" s="68">
        <v>28</v>
      </c>
      <c r="C29" s="163">
        <v>160900.04</v>
      </c>
      <c r="D29" s="163">
        <v>426700</v>
      </c>
      <c r="E29" s="164">
        <f t="shared" si="2"/>
        <v>587600.04</v>
      </c>
      <c r="F29" s="195" t="s">
        <v>216</v>
      </c>
    </row>
    <row r="30" spans="1:6" ht="22.5" customHeight="1" x14ac:dyDescent="0.25">
      <c r="A30" s="160"/>
      <c r="B30" s="68">
        <v>29</v>
      </c>
      <c r="C30" s="163">
        <v>433750.02</v>
      </c>
      <c r="D30" s="163">
        <v>267100</v>
      </c>
      <c r="E30" s="164">
        <f t="shared" si="2"/>
        <v>700850.02</v>
      </c>
      <c r="F30" s="195" t="s">
        <v>210</v>
      </c>
    </row>
    <row r="31" spans="1:6" ht="22.5" customHeight="1" x14ac:dyDescent="0.25">
      <c r="A31" s="160"/>
      <c r="B31" s="68">
        <v>30</v>
      </c>
      <c r="C31" s="163">
        <v>297070.02</v>
      </c>
      <c r="D31" s="163">
        <v>574000</v>
      </c>
      <c r="E31" s="164">
        <f t="shared" si="2"/>
        <v>871070.02</v>
      </c>
      <c r="F31" s="195" t="s">
        <v>211</v>
      </c>
    </row>
    <row r="32" spans="1:6" ht="22.5" customHeight="1" x14ac:dyDescent="0.25">
      <c r="A32" s="160"/>
      <c r="B32" s="68">
        <v>31</v>
      </c>
      <c r="C32" s="163">
        <v>495900</v>
      </c>
      <c r="D32" s="163">
        <v>429900</v>
      </c>
      <c r="E32" s="164">
        <f t="shared" si="2"/>
        <v>925800</v>
      </c>
      <c r="F32" s="195" t="s">
        <v>212</v>
      </c>
    </row>
    <row r="33" spans="2:6" ht="22.5" customHeight="1" x14ac:dyDescent="0.25">
      <c r="B33" s="196" t="s">
        <v>191</v>
      </c>
      <c r="C33" s="166">
        <f t="shared" ref="C33:E33" si="3">SUM(C2:C32)</f>
        <v>13410390.749999996</v>
      </c>
      <c r="D33" s="166">
        <f t="shared" si="3"/>
        <v>13970652.560000001</v>
      </c>
      <c r="E33" s="166">
        <f t="shared" si="3"/>
        <v>27381043.309999999</v>
      </c>
      <c r="F33" s="197"/>
    </row>
    <row r="34" spans="2:6" ht="22.5" customHeight="1" x14ac:dyDescent="0.25">
      <c r="B34" s="117"/>
      <c r="C34" s="198">
        <f>IF(COUNT(C2:C32)=0, "", AVERAGE(C2:C32))</f>
        <v>432593.24999999988</v>
      </c>
      <c r="D34" s="198">
        <f>IF(COUNT(D3:D32)=0, "", AVERAGE(D2:D32))</f>
        <v>450666.21161290322</v>
      </c>
      <c r="E34" s="198">
        <f>D34+C34</f>
        <v>883259.46161290305</v>
      </c>
      <c r="F34" s="199" t="s">
        <v>192</v>
      </c>
    </row>
    <row r="35" spans="2:6" ht="22.5" customHeight="1" x14ac:dyDescent="0.25">
      <c r="B35" s="117"/>
      <c r="C35" s="198"/>
      <c r="D35" s="198"/>
      <c r="E35" s="198">
        <f>E34*31</f>
        <v>27381043.309999995</v>
      </c>
      <c r="F35" s="199" t="s">
        <v>193</v>
      </c>
    </row>
    <row r="36" spans="2:6" ht="13.2" x14ac:dyDescent="0.25">
      <c r="C36" s="160"/>
      <c r="D36" s="160"/>
      <c r="E36" s="160"/>
    </row>
    <row r="37" spans="2:6" ht="13.2" x14ac:dyDescent="0.25">
      <c r="C37" s="160"/>
      <c r="D37" s="160"/>
      <c r="E37" s="160"/>
    </row>
    <row r="38" spans="2:6" ht="13.2" x14ac:dyDescent="0.25">
      <c r="C38" s="160"/>
      <c r="D38" s="160"/>
      <c r="E38" s="160"/>
    </row>
    <row r="39" spans="2:6" ht="13.2" x14ac:dyDescent="0.25">
      <c r="C39" s="160"/>
      <c r="D39" s="160"/>
      <c r="E39" s="160"/>
    </row>
    <row r="40" spans="2:6" ht="13.2" x14ac:dyDescent="0.25">
      <c r="C40" s="160"/>
      <c r="D40" s="160"/>
      <c r="E40" s="160"/>
    </row>
    <row r="41" spans="2:6" ht="13.2" x14ac:dyDescent="0.25">
      <c r="C41" s="160"/>
      <c r="D41" s="160"/>
      <c r="E41" s="160"/>
    </row>
    <row r="42" spans="2:6" ht="13.2" x14ac:dyDescent="0.25">
      <c r="C42" s="160"/>
      <c r="D42" s="160"/>
      <c r="E42" s="160"/>
    </row>
    <row r="43" spans="2:6" ht="13.2" x14ac:dyDescent="0.25">
      <c r="C43" s="160"/>
      <c r="D43" s="160"/>
      <c r="E43" s="160"/>
    </row>
    <row r="44" spans="2:6" ht="13.2" x14ac:dyDescent="0.25">
      <c r="C44" s="160"/>
      <c r="D44" s="160"/>
      <c r="E44" s="160"/>
    </row>
    <row r="45" spans="2:6" ht="13.2" x14ac:dyDescent="0.25">
      <c r="C45" s="160"/>
      <c r="D45" s="160"/>
      <c r="E45" s="160"/>
    </row>
    <row r="46" spans="2:6" ht="13.2" x14ac:dyDescent="0.25">
      <c r="C46" s="160"/>
      <c r="D46" s="160"/>
      <c r="E46" s="160"/>
    </row>
    <row r="47" spans="2:6" ht="13.2" x14ac:dyDescent="0.25">
      <c r="C47" s="160"/>
      <c r="D47" s="160"/>
      <c r="E47" s="160"/>
    </row>
    <row r="48" spans="2:6" ht="13.2" x14ac:dyDescent="0.25">
      <c r="C48" s="160"/>
      <c r="D48" s="160"/>
      <c r="E48" s="160"/>
    </row>
    <row r="49" spans="3:5" ht="13.2" x14ac:dyDescent="0.25">
      <c r="C49" s="160"/>
      <c r="D49" s="160"/>
      <c r="E49" s="160"/>
    </row>
    <row r="50" spans="3:5" ht="13.2" x14ac:dyDescent="0.25">
      <c r="C50" s="160"/>
      <c r="D50" s="160"/>
      <c r="E50" s="160"/>
    </row>
    <row r="51" spans="3:5" ht="13.2" x14ac:dyDescent="0.25">
      <c r="C51" s="160"/>
      <c r="D51" s="160"/>
      <c r="E51" s="160"/>
    </row>
    <row r="52" spans="3:5" ht="13.2" x14ac:dyDescent="0.25">
      <c r="C52" s="160"/>
      <c r="D52" s="160"/>
      <c r="E52" s="160"/>
    </row>
    <row r="53" spans="3:5" ht="13.2" x14ac:dyDescent="0.25">
      <c r="C53" s="160"/>
      <c r="D53" s="160"/>
      <c r="E53" s="160"/>
    </row>
    <row r="54" spans="3:5" ht="13.2" x14ac:dyDescent="0.25">
      <c r="C54" s="160"/>
      <c r="D54" s="160"/>
      <c r="E54" s="160"/>
    </row>
    <row r="55" spans="3:5" ht="13.2" x14ac:dyDescent="0.25">
      <c r="C55" s="160"/>
      <c r="D55" s="160"/>
      <c r="E55" s="160"/>
    </row>
    <row r="56" spans="3:5" ht="13.2" x14ac:dyDescent="0.25">
      <c r="C56" s="160"/>
      <c r="D56" s="160"/>
      <c r="E56" s="160"/>
    </row>
    <row r="57" spans="3:5" ht="13.2" x14ac:dyDescent="0.25">
      <c r="C57" s="160"/>
      <c r="D57" s="160"/>
      <c r="E57" s="160"/>
    </row>
    <row r="58" spans="3:5" ht="13.2" x14ac:dyDescent="0.25">
      <c r="C58" s="160"/>
      <c r="D58" s="160"/>
      <c r="E58" s="160"/>
    </row>
    <row r="59" spans="3:5" ht="13.2" x14ac:dyDescent="0.25">
      <c r="C59" s="160"/>
      <c r="D59" s="160"/>
      <c r="E59" s="160"/>
    </row>
    <row r="60" spans="3:5" ht="13.2" x14ac:dyDescent="0.25">
      <c r="C60" s="160"/>
      <c r="D60" s="160"/>
      <c r="E60" s="160"/>
    </row>
    <row r="61" spans="3:5" ht="13.2" x14ac:dyDescent="0.25">
      <c r="C61" s="160"/>
      <c r="D61" s="160"/>
      <c r="E61" s="160"/>
    </row>
    <row r="62" spans="3:5" ht="13.2" x14ac:dyDescent="0.25">
      <c r="C62" s="160"/>
      <c r="D62" s="160"/>
      <c r="E62" s="160"/>
    </row>
    <row r="63" spans="3:5" ht="13.2" x14ac:dyDescent="0.25">
      <c r="C63" s="160"/>
      <c r="D63" s="160"/>
      <c r="E63" s="160"/>
    </row>
    <row r="64" spans="3:5" ht="13.2" x14ac:dyDescent="0.25">
      <c r="C64" s="160"/>
      <c r="D64" s="160"/>
      <c r="E64" s="160"/>
    </row>
    <row r="65" spans="3:5" ht="13.2" x14ac:dyDescent="0.25">
      <c r="C65" s="160"/>
      <c r="D65" s="160"/>
      <c r="E65" s="160"/>
    </row>
    <row r="66" spans="3:5" ht="13.2" x14ac:dyDescent="0.25">
      <c r="C66" s="160"/>
      <c r="D66" s="160"/>
      <c r="E66" s="160"/>
    </row>
    <row r="67" spans="3:5" ht="13.2" x14ac:dyDescent="0.25">
      <c r="C67" s="160"/>
      <c r="D67" s="160"/>
      <c r="E67" s="160"/>
    </row>
    <row r="68" spans="3:5" ht="13.2" x14ac:dyDescent="0.25">
      <c r="C68" s="160"/>
      <c r="D68" s="160"/>
      <c r="E68" s="160"/>
    </row>
    <row r="69" spans="3:5" ht="13.2" x14ac:dyDescent="0.25">
      <c r="C69" s="160"/>
      <c r="D69" s="160"/>
      <c r="E69" s="160"/>
    </row>
    <row r="70" spans="3:5" ht="13.2" x14ac:dyDescent="0.25">
      <c r="C70" s="160"/>
      <c r="D70" s="160"/>
      <c r="E70" s="160"/>
    </row>
    <row r="71" spans="3:5" ht="13.2" x14ac:dyDescent="0.25">
      <c r="C71" s="160"/>
      <c r="D71" s="160"/>
      <c r="E71" s="160"/>
    </row>
    <row r="72" spans="3:5" ht="13.2" x14ac:dyDescent="0.25">
      <c r="C72" s="160"/>
      <c r="D72" s="160"/>
      <c r="E72" s="160"/>
    </row>
    <row r="73" spans="3:5" ht="13.2" x14ac:dyDescent="0.25">
      <c r="C73" s="160"/>
      <c r="D73" s="160"/>
      <c r="E73" s="160"/>
    </row>
    <row r="74" spans="3:5" ht="13.2" x14ac:dyDescent="0.25">
      <c r="C74" s="160"/>
      <c r="D74" s="160"/>
      <c r="E74" s="160"/>
    </row>
    <row r="75" spans="3:5" ht="13.2" x14ac:dyDescent="0.25">
      <c r="C75" s="160"/>
      <c r="D75" s="160"/>
      <c r="E75" s="160"/>
    </row>
    <row r="76" spans="3:5" ht="13.2" x14ac:dyDescent="0.25">
      <c r="C76" s="160"/>
      <c r="D76" s="160"/>
      <c r="E76" s="160"/>
    </row>
    <row r="77" spans="3:5" ht="13.2" x14ac:dyDescent="0.25">
      <c r="C77" s="160"/>
      <c r="D77" s="160"/>
      <c r="E77" s="160"/>
    </row>
    <row r="78" spans="3:5" ht="13.2" x14ac:dyDescent="0.25">
      <c r="C78" s="160"/>
      <c r="D78" s="160"/>
      <c r="E78" s="160"/>
    </row>
    <row r="79" spans="3:5" ht="13.2" x14ac:dyDescent="0.25">
      <c r="C79" s="160"/>
      <c r="D79" s="160"/>
      <c r="E79" s="160"/>
    </row>
    <row r="80" spans="3:5" ht="13.2" x14ac:dyDescent="0.25">
      <c r="C80" s="160"/>
      <c r="D80" s="160"/>
      <c r="E80" s="160"/>
    </row>
    <row r="81" spans="3:5" ht="13.2" x14ac:dyDescent="0.25">
      <c r="C81" s="160"/>
      <c r="D81" s="160"/>
      <c r="E81" s="160"/>
    </row>
    <row r="82" spans="3:5" ht="13.2" x14ac:dyDescent="0.25">
      <c r="C82" s="160"/>
      <c r="D82" s="160"/>
      <c r="E82" s="160"/>
    </row>
    <row r="83" spans="3:5" ht="13.2" x14ac:dyDescent="0.25">
      <c r="C83" s="160"/>
      <c r="D83" s="160"/>
      <c r="E83" s="160"/>
    </row>
    <row r="84" spans="3:5" ht="13.2" x14ac:dyDescent="0.25">
      <c r="C84" s="160"/>
      <c r="D84" s="160"/>
      <c r="E84" s="160"/>
    </row>
    <row r="85" spans="3:5" ht="13.2" x14ac:dyDescent="0.25">
      <c r="C85" s="160"/>
      <c r="D85" s="160"/>
      <c r="E85" s="160"/>
    </row>
    <row r="86" spans="3:5" ht="13.2" x14ac:dyDescent="0.25">
      <c r="C86" s="160"/>
      <c r="D86" s="160"/>
      <c r="E86" s="160"/>
    </row>
    <row r="87" spans="3:5" ht="13.2" x14ac:dyDescent="0.25">
      <c r="C87" s="160"/>
      <c r="D87" s="160"/>
      <c r="E87" s="160"/>
    </row>
    <row r="88" spans="3:5" ht="13.2" x14ac:dyDescent="0.25">
      <c r="C88" s="160"/>
      <c r="D88" s="160"/>
      <c r="E88" s="160"/>
    </row>
    <row r="89" spans="3:5" ht="13.2" x14ac:dyDescent="0.25">
      <c r="C89" s="160"/>
      <c r="D89" s="160"/>
      <c r="E89" s="160"/>
    </row>
    <row r="90" spans="3:5" ht="13.2" x14ac:dyDescent="0.25">
      <c r="C90" s="160"/>
      <c r="D90" s="160"/>
      <c r="E90" s="160"/>
    </row>
    <row r="91" spans="3:5" ht="13.2" x14ac:dyDescent="0.25">
      <c r="C91" s="160"/>
      <c r="D91" s="160"/>
      <c r="E91" s="160"/>
    </row>
    <row r="92" spans="3:5" ht="13.2" x14ac:dyDescent="0.25">
      <c r="C92" s="160"/>
      <c r="D92" s="160"/>
      <c r="E92" s="160"/>
    </row>
    <row r="93" spans="3:5" ht="13.2" x14ac:dyDescent="0.25">
      <c r="C93" s="160"/>
      <c r="D93" s="160"/>
      <c r="E93" s="160"/>
    </row>
    <row r="94" spans="3:5" ht="13.2" x14ac:dyDescent="0.25">
      <c r="C94" s="160"/>
      <c r="D94" s="160"/>
      <c r="E94" s="160"/>
    </row>
    <row r="95" spans="3:5" ht="13.2" x14ac:dyDescent="0.25">
      <c r="C95" s="160"/>
      <c r="D95" s="160"/>
      <c r="E95" s="160"/>
    </row>
    <row r="96" spans="3:5" ht="13.2" x14ac:dyDescent="0.25">
      <c r="C96" s="160"/>
      <c r="D96" s="160"/>
      <c r="E96" s="160"/>
    </row>
    <row r="97" spans="3:5" ht="13.2" x14ac:dyDescent="0.25">
      <c r="C97" s="160"/>
      <c r="D97" s="160"/>
      <c r="E97" s="160"/>
    </row>
    <row r="98" spans="3:5" ht="13.2" x14ac:dyDescent="0.25">
      <c r="C98" s="160"/>
      <c r="D98" s="160"/>
      <c r="E98" s="160"/>
    </row>
    <row r="99" spans="3:5" ht="13.2" x14ac:dyDescent="0.25">
      <c r="C99" s="160"/>
      <c r="D99" s="160"/>
      <c r="E99" s="160"/>
    </row>
    <row r="100" spans="3:5" ht="13.2" x14ac:dyDescent="0.25">
      <c r="C100" s="160"/>
      <c r="D100" s="160"/>
      <c r="E100" s="160"/>
    </row>
    <row r="101" spans="3:5" ht="13.2" x14ac:dyDescent="0.25">
      <c r="C101" s="160"/>
      <c r="D101" s="160"/>
      <c r="E101" s="160"/>
    </row>
    <row r="102" spans="3:5" ht="13.2" x14ac:dyDescent="0.25">
      <c r="C102" s="160"/>
      <c r="D102" s="160"/>
      <c r="E102" s="160"/>
    </row>
    <row r="103" spans="3:5" ht="13.2" x14ac:dyDescent="0.25">
      <c r="C103" s="160"/>
      <c r="D103" s="160"/>
      <c r="E103" s="160"/>
    </row>
    <row r="104" spans="3:5" ht="13.2" x14ac:dyDescent="0.25">
      <c r="C104" s="160"/>
      <c r="D104" s="160"/>
      <c r="E104" s="160"/>
    </row>
    <row r="105" spans="3:5" ht="13.2" x14ac:dyDescent="0.25">
      <c r="C105" s="160"/>
      <c r="D105" s="160"/>
      <c r="E105" s="160"/>
    </row>
    <row r="106" spans="3:5" ht="13.2" x14ac:dyDescent="0.25">
      <c r="C106" s="160"/>
      <c r="D106" s="160"/>
      <c r="E106" s="160"/>
    </row>
    <row r="107" spans="3:5" ht="13.2" x14ac:dyDescent="0.25">
      <c r="C107" s="160"/>
      <c r="D107" s="160"/>
      <c r="E107" s="160"/>
    </row>
    <row r="108" spans="3:5" ht="13.2" x14ac:dyDescent="0.25">
      <c r="C108" s="160"/>
      <c r="D108" s="160"/>
      <c r="E108" s="160"/>
    </row>
    <row r="109" spans="3:5" ht="13.2" x14ac:dyDescent="0.25">
      <c r="C109" s="160"/>
      <c r="D109" s="160"/>
      <c r="E109" s="160"/>
    </row>
    <row r="110" spans="3:5" ht="13.2" x14ac:dyDescent="0.25">
      <c r="C110" s="160"/>
      <c r="D110" s="160"/>
      <c r="E110" s="160"/>
    </row>
    <row r="111" spans="3:5" ht="13.2" x14ac:dyDescent="0.25">
      <c r="C111" s="160"/>
      <c r="D111" s="160"/>
      <c r="E111" s="160"/>
    </row>
    <row r="112" spans="3:5" ht="13.2" x14ac:dyDescent="0.25">
      <c r="C112" s="160"/>
      <c r="D112" s="160"/>
      <c r="E112" s="160"/>
    </row>
    <row r="113" spans="3:5" ht="13.2" x14ac:dyDescent="0.25">
      <c r="C113" s="160"/>
      <c r="D113" s="160"/>
      <c r="E113" s="160"/>
    </row>
    <row r="114" spans="3:5" ht="13.2" x14ac:dyDescent="0.25">
      <c r="C114" s="160"/>
      <c r="D114" s="160"/>
      <c r="E114" s="160"/>
    </row>
    <row r="115" spans="3:5" ht="13.2" x14ac:dyDescent="0.25">
      <c r="C115" s="160"/>
      <c r="D115" s="160"/>
      <c r="E115" s="160"/>
    </row>
    <row r="116" spans="3:5" ht="13.2" x14ac:dyDescent="0.25">
      <c r="C116" s="160"/>
      <c r="D116" s="160"/>
      <c r="E116" s="160"/>
    </row>
    <row r="117" spans="3:5" ht="13.2" x14ac:dyDescent="0.25">
      <c r="C117" s="160"/>
      <c r="D117" s="160"/>
      <c r="E117" s="160"/>
    </row>
    <row r="118" spans="3:5" ht="13.2" x14ac:dyDescent="0.25">
      <c r="C118" s="160"/>
      <c r="D118" s="160"/>
      <c r="E118" s="160"/>
    </row>
    <row r="119" spans="3:5" ht="13.2" x14ac:dyDescent="0.25">
      <c r="C119" s="160"/>
      <c r="D119" s="160"/>
      <c r="E119" s="160"/>
    </row>
    <row r="120" spans="3:5" ht="13.2" x14ac:dyDescent="0.25">
      <c r="C120" s="160"/>
      <c r="D120" s="160"/>
      <c r="E120" s="160"/>
    </row>
    <row r="121" spans="3:5" ht="13.2" x14ac:dyDescent="0.25">
      <c r="C121" s="160"/>
      <c r="D121" s="160"/>
      <c r="E121" s="160"/>
    </row>
    <row r="122" spans="3:5" ht="13.2" x14ac:dyDescent="0.25">
      <c r="C122" s="160"/>
      <c r="D122" s="160"/>
      <c r="E122" s="160"/>
    </row>
    <row r="123" spans="3:5" ht="13.2" x14ac:dyDescent="0.25">
      <c r="C123" s="160"/>
      <c r="D123" s="160"/>
      <c r="E123" s="160"/>
    </row>
    <row r="124" spans="3:5" ht="13.2" x14ac:dyDescent="0.25">
      <c r="C124" s="160"/>
      <c r="D124" s="160"/>
      <c r="E124" s="160"/>
    </row>
    <row r="125" spans="3:5" ht="13.2" x14ac:dyDescent="0.25">
      <c r="C125" s="160"/>
      <c r="D125" s="160"/>
      <c r="E125" s="160"/>
    </row>
    <row r="126" spans="3:5" ht="13.2" x14ac:dyDescent="0.25">
      <c r="C126" s="160"/>
      <c r="D126" s="160"/>
      <c r="E126" s="160"/>
    </row>
    <row r="127" spans="3:5" ht="13.2" x14ac:dyDescent="0.25">
      <c r="C127" s="160"/>
      <c r="D127" s="160"/>
      <c r="E127" s="160"/>
    </row>
    <row r="128" spans="3:5" ht="13.2" x14ac:dyDescent="0.25">
      <c r="C128" s="160"/>
      <c r="D128" s="160"/>
      <c r="E128" s="160"/>
    </row>
    <row r="129" spans="3:5" ht="13.2" x14ac:dyDescent="0.25">
      <c r="C129" s="160"/>
      <c r="D129" s="160"/>
      <c r="E129" s="160"/>
    </row>
    <row r="130" spans="3:5" ht="13.2" x14ac:dyDescent="0.25">
      <c r="C130" s="160"/>
      <c r="D130" s="160"/>
      <c r="E130" s="160"/>
    </row>
    <row r="131" spans="3:5" ht="13.2" x14ac:dyDescent="0.25">
      <c r="C131" s="160"/>
      <c r="D131" s="160"/>
      <c r="E131" s="160"/>
    </row>
    <row r="132" spans="3:5" ht="13.2" x14ac:dyDescent="0.25">
      <c r="C132" s="160"/>
      <c r="D132" s="160"/>
      <c r="E132" s="160"/>
    </row>
    <row r="133" spans="3:5" ht="13.2" x14ac:dyDescent="0.25">
      <c r="C133" s="160"/>
      <c r="D133" s="160"/>
      <c r="E133" s="160"/>
    </row>
    <row r="134" spans="3:5" ht="13.2" x14ac:dyDescent="0.25">
      <c r="C134" s="160"/>
      <c r="D134" s="160"/>
      <c r="E134" s="160"/>
    </row>
    <row r="135" spans="3:5" ht="13.2" x14ac:dyDescent="0.25">
      <c r="C135" s="160"/>
      <c r="D135" s="160"/>
      <c r="E135" s="160"/>
    </row>
    <row r="136" spans="3:5" ht="13.2" x14ac:dyDescent="0.25">
      <c r="C136" s="160"/>
      <c r="D136" s="160"/>
      <c r="E136" s="160"/>
    </row>
    <row r="137" spans="3:5" ht="13.2" x14ac:dyDescent="0.25">
      <c r="C137" s="160"/>
      <c r="D137" s="160"/>
      <c r="E137" s="160"/>
    </row>
    <row r="138" spans="3:5" ht="13.2" x14ac:dyDescent="0.25">
      <c r="C138" s="160"/>
      <c r="D138" s="160"/>
      <c r="E138" s="160"/>
    </row>
    <row r="139" spans="3:5" ht="13.2" x14ac:dyDescent="0.25">
      <c r="C139" s="160"/>
      <c r="D139" s="160"/>
      <c r="E139" s="160"/>
    </row>
    <row r="140" spans="3:5" ht="13.2" x14ac:dyDescent="0.25">
      <c r="C140" s="160"/>
      <c r="D140" s="160"/>
      <c r="E140" s="160"/>
    </row>
    <row r="141" spans="3:5" ht="13.2" x14ac:dyDescent="0.25">
      <c r="C141" s="160"/>
      <c r="D141" s="160"/>
      <c r="E141" s="160"/>
    </row>
    <row r="142" spans="3:5" ht="13.2" x14ac:dyDescent="0.25">
      <c r="C142" s="160"/>
      <c r="D142" s="160"/>
      <c r="E142" s="160"/>
    </row>
    <row r="143" spans="3:5" ht="13.2" x14ac:dyDescent="0.25">
      <c r="C143" s="160"/>
      <c r="D143" s="160"/>
      <c r="E143" s="160"/>
    </row>
    <row r="144" spans="3:5" ht="13.2" x14ac:dyDescent="0.25">
      <c r="C144" s="160"/>
      <c r="D144" s="160"/>
      <c r="E144" s="160"/>
    </row>
    <row r="145" spans="3:5" ht="13.2" x14ac:dyDescent="0.25">
      <c r="C145" s="160"/>
      <c r="D145" s="160"/>
      <c r="E145" s="160"/>
    </row>
    <row r="146" spans="3:5" ht="13.2" x14ac:dyDescent="0.25">
      <c r="C146" s="160"/>
      <c r="D146" s="160"/>
      <c r="E146" s="160"/>
    </row>
    <row r="147" spans="3:5" ht="13.2" x14ac:dyDescent="0.25">
      <c r="C147" s="160"/>
      <c r="D147" s="160"/>
      <c r="E147" s="160"/>
    </row>
    <row r="148" spans="3:5" ht="13.2" x14ac:dyDescent="0.25">
      <c r="C148" s="160"/>
      <c r="D148" s="160"/>
      <c r="E148" s="160"/>
    </row>
    <row r="149" spans="3:5" ht="13.2" x14ac:dyDescent="0.25">
      <c r="C149" s="160"/>
      <c r="D149" s="160"/>
      <c r="E149" s="160"/>
    </row>
    <row r="150" spans="3:5" ht="13.2" x14ac:dyDescent="0.25">
      <c r="C150" s="160"/>
      <c r="D150" s="160"/>
      <c r="E150" s="160"/>
    </row>
    <row r="151" spans="3:5" ht="13.2" x14ac:dyDescent="0.25">
      <c r="C151" s="160"/>
      <c r="D151" s="160"/>
      <c r="E151" s="160"/>
    </row>
    <row r="152" spans="3:5" ht="13.2" x14ac:dyDescent="0.25">
      <c r="C152" s="160"/>
      <c r="D152" s="160"/>
      <c r="E152" s="160"/>
    </row>
    <row r="153" spans="3:5" ht="13.2" x14ac:dyDescent="0.25">
      <c r="C153" s="160"/>
      <c r="D153" s="160"/>
      <c r="E153" s="160"/>
    </row>
    <row r="154" spans="3:5" ht="13.2" x14ac:dyDescent="0.25">
      <c r="C154" s="160"/>
      <c r="D154" s="160"/>
      <c r="E154" s="160"/>
    </row>
    <row r="155" spans="3:5" ht="13.2" x14ac:dyDescent="0.25">
      <c r="C155" s="160"/>
      <c r="D155" s="160"/>
      <c r="E155" s="160"/>
    </row>
    <row r="156" spans="3:5" ht="13.2" x14ac:dyDescent="0.25">
      <c r="C156" s="160"/>
      <c r="D156" s="160"/>
      <c r="E156" s="160"/>
    </row>
    <row r="157" spans="3:5" ht="13.2" x14ac:dyDescent="0.25">
      <c r="C157" s="160"/>
      <c r="D157" s="160"/>
      <c r="E157" s="160"/>
    </row>
    <row r="158" spans="3:5" ht="13.2" x14ac:dyDescent="0.25">
      <c r="C158" s="160"/>
      <c r="D158" s="160"/>
      <c r="E158" s="160"/>
    </row>
    <row r="159" spans="3:5" ht="13.2" x14ac:dyDescent="0.25">
      <c r="C159" s="160"/>
      <c r="D159" s="160"/>
      <c r="E159" s="160"/>
    </row>
    <row r="160" spans="3:5" ht="13.2" x14ac:dyDescent="0.25">
      <c r="C160" s="160"/>
      <c r="D160" s="160"/>
      <c r="E160" s="160"/>
    </row>
    <row r="161" spans="3:5" ht="13.2" x14ac:dyDescent="0.25">
      <c r="C161" s="160"/>
      <c r="D161" s="160"/>
      <c r="E161" s="160"/>
    </row>
    <row r="162" spans="3:5" ht="13.2" x14ac:dyDescent="0.25">
      <c r="C162" s="160"/>
      <c r="D162" s="160"/>
      <c r="E162" s="160"/>
    </row>
    <row r="163" spans="3:5" ht="13.2" x14ac:dyDescent="0.25">
      <c r="C163" s="160"/>
      <c r="D163" s="160"/>
      <c r="E163" s="160"/>
    </row>
    <row r="164" spans="3:5" ht="13.2" x14ac:dyDescent="0.25">
      <c r="C164" s="160"/>
      <c r="D164" s="160"/>
      <c r="E164" s="160"/>
    </row>
    <row r="165" spans="3:5" ht="13.2" x14ac:dyDescent="0.25">
      <c r="C165" s="160"/>
      <c r="D165" s="160"/>
      <c r="E165" s="160"/>
    </row>
    <row r="166" spans="3:5" ht="13.2" x14ac:dyDescent="0.25">
      <c r="C166" s="160"/>
      <c r="D166" s="160"/>
      <c r="E166" s="160"/>
    </row>
    <row r="167" spans="3:5" ht="13.2" x14ac:dyDescent="0.25">
      <c r="C167" s="160"/>
      <c r="D167" s="160"/>
      <c r="E167" s="160"/>
    </row>
    <row r="168" spans="3:5" ht="13.2" x14ac:dyDescent="0.25">
      <c r="C168" s="160"/>
      <c r="D168" s="160"/>
      <c r="E168" s="160"/>
    </row>
    <row r="169" spans="3:5" ht="13.2" x14ac:dyDescent="0.25">
      <c r="C169" s="160"/>
      <c r="D169" s="160"/>
      <c r="E169" s="160"/>
    </row>
    <row r="170" spans="3:5" ht="13.2" x14ac:dyDescent="0.25">
      <c r="C170" s="160"/>
      <c r="D170" s="160"/>
      <c r="E170" s="160"/>
    </row>
    <row r="171" spans="3:5" ht="13.2" x14ac:dyDescent="0.25">
      <c r="C171" s="160"/>
      <c r="D171" s="160"/>
      <c r="E171" s="160"/>
    </row>
    <row r="172" spans="3:5" ht="13.2" x14ac:dyDescent="0.25">
      <c r="C172" s="160"/>
      <c r="D172" s="160"/>
      <c r="E172" s="160"/>
    </row>
    <row r="173" spans="3:5" ht="13.2" x14ac:dyDescent="0.25">
      <c r="C173" s="160"/>
      <c r="D173" s="160"/>
      <c r="E173" s="160"/>
    </row>
    <row r="174" spans="3:5" ht="13.2" x14ac:dyDescent="0.25">
      <c r="C174" s="160"/>
      <c r="D174" s="160"/>
      <c r="E174" s="160"/>
    </row>
    <row r="175" spans="3:5" ht="13.2" x14ac:dyDescent="0.25">
      <c r="C175" s="160"/>
      <c r="D175" s="160"/>
      <c r="E175" s="160"/>
    </row>
    <row r="176" spans="3:5" ht="13.2" x14ac:dyDescent="0.25">
      <c r="C176" s="160"/>
      <c r="D176" s="160"/>
      <c r="E176" s="160"/>
    </row>
    <row r="177" spans="3:5" ht="13.2" x14ac:dyDescent="0.25">
      <c r="C177" s="160"/>
      <c r="D177" s="160"/>
      <c r="E177" s="160"/>
    </row>
    <row r="178" spans="3:5" ht="13.2" x14ac:dyDescent="0.25">
      <c r="C178" s="160"/>
      <c r="D178" s="160"/>
      <c r="E178" s="160"/>
    </row>
    <row r="179" spans="3:5" ht="13.2" x14ac:dyDescent="0.25">
      <c r="C179" s="160"/>
      <c r="D179" s="160"/>
      <c r="E179" s="160"/>
    </row>
    <row r="180" spans="3:5" ht="13.2" x14ac:dyDescent="0.25">
      <c r="C180" s="160"/>
      <c r="D180" s="160"/>
      <c r="E180" s="160"/>
    </row>
    <row r="181" spans="3:5" ht="13.2" x14ac:dyDescent="0.25">
      <c r="C181" s="160"/>
      <c r="D181" s="160"/>
      <c r="E181" s="160"/>
    </row>
    <row r="182" spans="3:5" ht="13.2" x14ac:dyDescent="0.25">
      <c r="C182" s="160"/>
      <c r="D182" s="160"/>
      <c r="E182" s="160"/>
    </row>
    <row r="183" spans="3:5" ht="13.2" x14ac:dyDescent="0.25">
      <c r="C183" s="160"/>
      <c r="D183" s="160"/>
      <c r="E183" s="160"/>
    </row>
    <row r="184" spans="3:5" ht="13.2" x14ac:dyDescent="0.25">
      <c r="C184" s="160"/>
      <c r="D184" s="160"/>
      <c r="E184" s="160"/>
    </row>
    <row r="185" spans="3:5" ht="13.2" x14ac:dyDescent="0.25">
      <c r="C185" s="160"/>
      <c r="D185" s="160"/>
      <c r="E185" s="160"/>
    </row>
    <row r="186" spans="3:5" ht="13.2" x14ac:dyDescent="0.25">
      <c r="C186" s="160"/>
      <c r="D186" s="160"/>
      <c r="E186" s="160"/>
    </row>
    <row r="187" spans="3:5" ht="13.2" x14ac:dyDescent="0.25">
      <c r="C187" s="160"/>
      <c r="D187" s="160"/>
      <c r="E187" s="160"/>
    </row>
    <row r="188" spans="3:5" ht="13.2" x14ac:dyDescent="0.25">
      <c r="C188" s="160"/>
      <c r="D188" s="160"/>
      <c r="E188" s="160"/>
    </row>
    <row r="189" spans="3:5" ht="13.2" x14ac:dyDescent="0.25">
      <c r="C189" s="160"/>
      <c r="D189" s="160"/>
      <c r="E189" s="160"/>
    </row>
    <row r="190" spans="3:5" ht="13.2" x14ac:dyDescent="0.25">
      <c r="C190" s="160"/>
      <c r="D190" s="160"/>
      <c r="E190" s="160"/>
    </row>
    <row r="191" spans="3:5" ht="13.2" x14ac:dyDescent="0.25">
      <c r="C191" s="160"/>
      <c r="D191" s="160"/>
      <c r="E191" s="160"/>
    </row>
    <row r="192" spans="3:5" ht="13.2" x14ac:dyDescent="0.25">
      <c r="C192" s="160"/>
      <c r="D192" s="160"/>
      <c r="E192" s="160"/>
    </row>
    <row r="193" spans="3:5" ht="13.2" x14ac:dyDescent="0.25">
      <c r="C193" s="160"/>
      <c r="D193" s="160"/>
      <c r="E193" s="160"/>
    </row>
    <row r="194" spans="3:5" ht="13.2" x14ac:dyDescent="0.25">
      <c r="C194" s="160"/>
      <c r="D194" s="160"/>
      <c r="E194" s="160"/>
    </row>
    <row r="195" spans="3:5" ht="13.2" x14ac:dyDescent="0.25">
      <c r="C195" s="160"/>
      <c r="D195" s="160"/>
      <c r="E195" s="160"/>
    </row>
    <row r="196" spans="3:5" ht="13.2" x14ac:dyDescent="0.25">
      <c r="C196" s="160"/>
      <c r="D196" s="160"/>
      <c r="E196" s="160"/>
    </row>
    <row r="197" spans="3:5" ht="13.2" x14ac:dyDescent="0.25">
      <c r="C197" s="160"/>
      <c r="D197" s="160"/>
      <c r="E197" s="160"/>
    </row>
    <row r="198" spans="3:5" ht="13.2" x14ac:dyDescent="0.25">
      <c r="C198" s="160"/>
      <c r="D198" s="160"/>
      <c r="E198" s="160"/>
    </row>
    <row r="199" spans="3:5" ht="13.2" x14ac:dyDescent="0.25">
      <c r="C199" s="160"/>
      <c r="D199" s="160"/>
      <c r="E199" s="160"/>
    </row>
    <row r="200" spans="3:5" ht="13.2" x14ac:dyDescent="0.25">
      <c r="C200" s="160"/>
      <c r="D200" s="160"/>
      <c r="E200" s="160"/>
    </row>
    <row r="201" spans="3:5" ht="13.2" x14ac:dyDescent="0.25">
      <c r="C201" s="160"/>
      <c r="D201" s="160"/>
      <c r="E201" s="160"/>
    </row>
    <row r="202" spans="3:5" ht="13.2" x14ac:dyDescent="0.25">
      <c r="C202" s="160"/>
      <c r="D202" s="160"/>
      <c r="E202" s="160"/>
    </row>
    <row r="203" spans="3:5" ht="13.2" x14ac:dyDescent="0.25">
      <c r="C203" s="160"/>
      <c r="D203" s="160"/>
      <c r="E203" s="160"/>
    </row>
    <row r="204" spans="3:5" ht="13.2" x14ac:dyDescent="0.25">
      <c r="C204" s="160"/>
      <c r="D204" s="160"/>
      <c r="E204" s="160"/>
    </row>
    <row r="205" spans="3:5" ht="13.2" x14ac:dyDescent="0.25">
      <c r="C205" s="160"/>
      <c r="D205" s="160"/>
      <c r="E205" s="160"/>
    </row>
    <row r="206" spans="3:5" ht="13.2" x14ac:dyDescent="0.25">
      <c r="C206" s="160"/>
      <c r="D206" s="160"/>
      <c r="E206" s="160"/>
    </row>
    <row r="207" spans="3:5" ht="13.2" x14ac:dyDescent="0.25">
      <c r="C207" s="160"/>
      <c r="D207" s="160"/>
      <c r="E207" s="160"/>
    </row>
    <row r="208" spans="3:5" ht="13.2" x14ac:dyDescent="0.25">
      <c r="C208" s="160"/>
      <c r="D208" s="160"/>
      <c r="E208" s="160"/>
    </row>
    <row r="209" spans="3:5" ht="13.2" x14ac:dyDescent="0.25">
      <c r="C209" s="160"/>
      <c r="D209" s="160"/>
      <c r="E209" s="160"/>
    </row>
    <row r="210" spans="3:5" ht="13.2" x14ac:dyDescent="0.25">
      <c r="C210" s="160"/>
      <c r="D210" s="160"/>
      <c r="E210" s="160"/>
    </row>
    <row r="211" spans="3:5" ht="13.2" x14ac:dyDescent="0.25">
      <c r="C211" s="160"/>
      <c r="D211" s="160"/>
      <c r="E211" s="160"/>
    </row>
    <row r="212" spans="3:5" ht="13.2" x14ac:dyDescent="0.25">
      <c r="C212" s="160"/>
      <c r="D212" s="160"/>
      <c r="E212" s="160"/>
    </row>
    <row r="213" spans="3:5" ht="13.2" x14ac:dyDescent="0.25">
      <c r="C213" s="160"/>
      <c r="D213" s="160"/>
      <c r="E213" s="160"/>
    </row>
    <row r="214" spans="3:5" ht="13.2" x14ac:dyDescent="0.25">
      <c r="C214" s="160"/>
      <c r="D214" s="160"/>
      <c r="E214" s="160"/>
    </row>
    <row r="215" spans="3:5" ht="13.2" x14ac:dyDescent="0.25">
      <c r="C215" s="160"/>
      <c r="D215" s="160"/>
      <c r="E215" s="160"/>
    </row>
    <row r="216" spans="3:5" ht="13.2" x14ac:dyDescent="0.25">
      <c r="C216" s="160"/>
      <c r="D216" s="160"/>
      <c r="E216" s="160"/>
    </row>
    <row r="217" spans="3:5" ht="13.2" x14ac:dyDescent="0.25">
      <c r="C217" s="160"/>
      <c r="D217" s="160"/>
      <c r="E217" s="160"/>
    </row>
    <row r="218" spans="3:5" ht="13.2" x14ac:dyDescent="0.25">
      <c r="C218" s="160"/>
      <c r="D218" s="160"/>
      <c r="E218" s="160"/>
    </row>
    <row r="219" spans="3:5" ht="13.2" x14ac:dyDescent="0.25">
      <c r="C219" s="160"/>
      <c r="D219" s="160"/>
      <c r="E219" s="160"/>
    </row>
    <row r="220" spans="3:5" ht="13.2" x14ac:dyDescent="0.25">
      <c r="C220" s="160"/>
      <c r="D220" s="160"/>
      <c r="E220" s="160"/>
    </row>
    <row r="221" spans="3:5" ht="13.2" x14ac:dyDescent="0.25">
      <c r="C221" s="160"/>
      <c r="D221" s="160"/>
      <c r="E221" s="160"/>
    </row>
    <row r="222" spans="3:5" ht="13.2" x14ac:dyDescent="0.25">
      <c r="C222" s="160"/>
      <c r="D222" s="160"/>
      <c r="E222" s="160"/>
    </row>
    <row r="223" spans="3:5" ht="13.2" x14ac:dyDescent="0.25">
      <c r="C223" s="160"/>
      <c r="D223" s="160"/>
      <c r="E223" s="160"/>
    </row>
    <row r="224" spans="3:5" ht="13.2" x14ac:dyDescent="0.25">
      <c r="C224" s="160"/>
      <c r="D224" s="160"/>
      <c r="E224" s="160"/>
    </row>
    <row r="225" spans="3:5" ht="13.2" x14ac:dyDescent="0.25">
      <c r="C225" s="160"/>
      <c r="D225" s="160"/>
      <c r="E225" s="160"/>
    </row>
    <row r="226" spans="3:5" ht="13.2" x14ac:dyDescent="0.25">
      <c r="C226" s="160"/>
      <c r="D226" s="160"/>
      <c r="E226" s="160"/>
    </row>
    <row r="227" spans="3:5" ht="13.2" x14ac:dyDescent="0.25">
      <c r="C227" s="160"/>
      <c r="D227" s="160"/>
      <c r="E227" s="160"/>
    </row>
    <row r="228" spans="3:5" ht="13.2" x14ac:dyDescent="0.25">
      <c r="C228" s="160"/>
      <c r="D228" s="160"/>
      <c r="E228" s="160"/>
    </row>
    <row r="229" spans="3:5" ht="13.2" x14ac:dyDescent="0.25">
      <c r="C229" s="160"/>
      <c r="D229" s="160"/>
      <c r="E229" s="160"/>
    </row>
    <row r="230" spans="3:5" ht="13.2" x14ac:dyDescent="0.25">
      <c r="C230" s="160"/>
      <c r="D230" s="160"/>
      <c r="E230" s="160"/>
    </row>
    <row r="231" spans="3:5" ht="13.2" x14ac:dyDescent="0.25">
      <c r="C231" s="160"/>
      <c r="D231" s="160"/>
      <c r="E231" s="160"/>
    </row>
    <row r="232" spans="3:5" ht="13.2" x14ac:dyDescent="0.25">
      <c r="C232" s="160"/>
      <c r="D232" s="160"/>
      <c r="E232" s="160"/>
    </row>
    <row r="233" spans="3:5" ht="13.2" x14ac:dyDescent="0.25">
      <c r="C233" s="160"/>
      <c r="D233" s="160"/>
      <c r="E233" s="160"/>
    </row>
    <row r="234" spans="3:5" ht="13.2" x14ac:dyDescent="0.25">
      <c r="C234" s="160"/>
      <c r="D234" s="160"/>
      <c r="E234" s="160"/>
    </row>
    <row r="235" spans="3:5" ht="13.2" x14ac:dyDescent="0.25">
      <c r="C235" s="160"/>
      <c r="D235" s="160"/>
      <c r="E235" s="160"/>
    </row>
    <row r="236" spans="3:5" ht="13.2" x14ac:dyDescent="0.25">
      <c r="C236" s="160"/>
      <c r="D236" s="160"/>
      <c r="E236" s="160"/>
    </row>
    <row r="237" spans="3:5" ht="13.2" x14ac:dyDescent="0.25">
      <c r="C237" s="160"/>
      <c r="D237" s="160"/>
      <c r="E237" s="160"/>
    </row>
    <row r="238" spans="3:5" ht="13.2" x14ac:dyDescent="0.25">
      <c r="C238" s="160"/>
      <c r="D238" s="160"/>
      <c r="E238" s="160"/>
    </row>
    <row r="239" spans="3:5" ht="13.2" x14ac:dyDescent="0.25">
      <c r="C239" s="160"/>
      <c r="D239" s="160"/>
      <c r="E239" s="160"/>
    </row>
    <row r="240" spans="3:5" ht="13.2" x14ac:dyDescent="0.25">
      <c r="C240" s="160"/>
      <c r="D240" s="160"/>
      <c r="E240" s="160"/>
    </row>
    <row r="241" spans="3:5" ht="13.2" x14ac:dyDescent="0.25">
      <c r="C241" s="160"/>
      <c r="D241" s="160"/>
      <c r="E241" s="160"/>
    </row>
    <row r="242" spans="3:5" ht="13.2" x14ac:dyDescent="0.25">
      <c r="C242" s="160"/>
      <c r="D242" s="160"/>
      <c r="E242" s="160"/>
    </row>
    <row r="243" spans="3:5" ht="13.2" x14ac:dyDescent="0.25">
      <c r="C243" s="160"/>
      <c r="D243" s="160"/>
      <c r="E243" s="160"/>
    </row>
    <row r="244" spans="3:5" ht="13.2" x14ac:dyDescent="0.25">
      <c r="C244" s="160"/>
      <c r="D244" s="160"/>
      <c r="E244" s="160"/>
    </row>
    <row r="245" spans="3:5" ht="13.2" x14ac:dyDescent="0.25">
      <c r="C245" s="160"/>
      <c r="D245" s="160"/>
      <c r="E245" s="160"/>
    </row>
    <row r="246" spans="3:5" ht="13.2" x14ac:dyDescent="0.25">
      <c r="C246" s="160"/>
      <c r="D246" s="160"/>
      <c r="E246" s="160"/>
    </row>
    <row r="247" spans="3:5" ht="13.2" x14ac:dyDescent="0.25">
      <c r="C247" s="160"/>
      <c r="D247" s="160"/>
      <c r="E247" s="160"/>
    </row>
    <row r="248" spans="3:5" ht="13.2" x14ac:dyDescent="0.25">
      <c r="C248" s="160"/>
      <c r="D248" s="160"/>
      <c r="E248" s="160"/>
    </row>
    <row r="249" spans="3:5" ht="13.2" x14ac:dyDescent="0.25">
      <c r="C249" s="160"/>
      <c r="D249" s="160"/>
      <c r="E249" s="160"/>
    </row>
    <row r="250" spans="3:5" ht="13.2" x14ac:dyDescent="0.25">
      <c r="C250" s="160"/>
      <c r="D250" s="160"/>
      <c r="E250" s="160"/>
    </row>
    <row r="251" spans="3:5" ht="13.2" x14ac:dyDescent="0.25">
      <c r="C251" s="160"/>
      <c r="D251" s="160"/>
      <c r="E251" s="160"/>
    </row>
    <row r="252" spans="3:5" ht="13.2" x14ac:dyDescent="0.25">
      <c r="C252" s="160"/>
      <c r="D252" s="160"/>
      <c r="E252" s="160"/>
    </row>
    <row r="253" spans="3:5" ht="13.2" x14ac:dyDescent="0.25">
      <c r="C253" s="160"/>
      <c r="D253" s="160"/>
      <c r="E253" s="160"/>
    </row>
    <row r="254" spans="3:5" ht="13.2" x14ac:dyDescent="0.25">
      <c r="C254" s="160"/>
      <c r="D254" s="160"/>
      <c r="E254" s="160"/>
    </row>
    <row r="255" spans="3:5" ht="13.2" x14ac:dyDescent="0.25">
      <c r="C255" s="160"/>
      <c r="D255" s="160"/>
      <c r="E255" s="160"/>
    </row>
    <row r="256" spans="3:5" ht="13.2" x14ac:dyDescent="0.25">
      <c r="C256" s="160"/>
      <c r="D256" s="160"/>
      <c r="E256" s="160"/>
    </row>
    <row r="257" spans="3:5" ht="13.2" x14ac:dyDescent="0.25">
      <c r="C257" s="160"/>
      <c r="D257" s="160"/>
      <c r="E257" s="160"/>
    </row>
    <row r="258" spans="3:5" ht="13.2" x14ac:dyDescent="0.25">
      <c r="C258" s="160"/>
      <c r="D258" s="160"/>
      <c r="E258" s="160"/>
    </row>
    <row r="259" spans="3:5" ht="13.2" x14ac:dyDescent="0.25">
      <c r="C259" s="160"/>
      <c r="D259" s="160"/>
      <c r="E259" s="160"/>
    </row>
    <row r="260" spans="3:5" ht="13.2" x14ac:dyDescent="0.25">
      <c r="C260" s="160"/>
      <c r="D260" s="160"/>
      <c r="E260" s="160"/>
    </row>
    <row r="261" spans="3:5" ht="13.2" x14ac:dyDescent="0.25">
      <c r="C261" s="160"/>
      <c r="D261" s="160"/>
      <c r="E261" s="160"/>
    </row>
    <row r="262" spans="3:5" ht="13.2" x14ac:dyDescent="0.25">
      <c r="C262" s="160"/>
      <c r="D262" s="160"/>
      <c r="E262" s="160"/>
    </row>
    <row r="263" spans="3:5" ht="13.2" x14ac:dyDescent="0.25">
      <c r="C263" s="160"/>
      <c r="D263" s="160"/>
      <c r="E263" s="160"/>
    </row>
    <row r="264" spans="3:5" ht="13.2" x14ac:dyDescent="0.25">
      <c r="C264" s="160"/>
      <c r="D264" s="160"/>
      <c r="E264" s="160"/>
    </row>
    <row r="265" spans="3:5" ht="13.2" x14ac:dyDescent="0.25">
      <c r="C265" s="160"/>
      <c r="D265" s="160"/>
      <c r="E265" s="160"/>
    </row>
    <row r="266" spans="3:5" ht="13.2" x14ac:dyDescent="0.25">
      <c r="C266" s="160"/>
      <c r="D266" s="160"/>
      <c r="E266" s="160"/>
    </row>
    <row r="267" spans="3:5" ht="13.2" x14ac:dyDescent="0.25">
      <c r="C267" s="160"/>
      <c r="D267" s="160"/>
      <c r="E267" s="160"/>
    </row>
    <row r="268" spans="3:5" ht="13.2" x14ac:dyDescent="0.25">
      <c r="C268" s="160"/>
      <c r="D268" s="160"/>
      <c r="E268" s="160"/>
    </row>
    <row r="269" spans="3:5" ht="13.2" x14ac:dyDescent="0.25">
      <c r="C269" s="160"/>
      <c r="D269" s="160"/>
      <c r="E269" s="160"/>
    </row>
    <row r="270" spans="3:5" ht="13.2" x14ac:dyDescent="0.25">
      <c r="C270" s="160"/>
      <c r="D270" s="160"/>
      <c r="E270" s="160"/>
    </row>
    <row r="271" spans="3:5" ht="13.2" x14ac:dyDescent="0.25">
      <c r="C271" s="160"/>
      <c r="D271" s="160"/>
      <c r="E271" s="160"/>
    </row>
    <row r="272" spans="3:5" ht="13.2" x14ac:dyDescent="0.25">
      <c r="C272" s="160"/>
      <c r="D272" s="160"/>
      <c r="E272" s="160"/>
    </row>
    <row r="273" spans="3:5" ht="13.2" x14ac:dyDescent="0.25">
      <c r="C273" s="160"/>
      <c r="D273" s="160"/>
      <c r="E273" s="160"/>
    </row>
    <row r="274" spans="3:5" ht="13.2" x14ac:dyDescent="0.25">
      <c r="C274" s="160"/>
      <c r="D274" s="160"/>
      <c r="E274" s="160"/>
    </row>
    <row r="275" spans="3:5" ht="13.2" x14ac:dyDescent="0.25">
      <c r="C275" s="160"/>
      <c r="D275" s="160"/>
      <c r="E275" s="160"/>
    </row>
    <row r="276" spans="3:5" ht="13.2" x14ac:dyDescent="0.25">
      <c r="C276" s="160"/>
      <c r="D276" s="160"/>
      <c r="E276" s="160"/>
    </row>
    <row r="277" spans="3:5" ht="13.2" x14ac:dyDescent="0.25">
      <c r="C277" s="160"/>
      <c r="D277" s="160"/>
      <c r="E277" s="160"/>
    </row>
    <row r="278" spans="3:5" ht="13.2" x14ac:dyDescent="0.25">
      <c r="C278" s="160"/>
      <c r="D278" s="160"/>
      <c r="E278" s="160"/>
    </row>
    <row r="279" spans="3:5" ht="13.2" x14ac:dyDescent="0.25">
      <c r="C279" s="160"/>
      <c r="D279" s="160"/>
      <c r="E279" s="160"/>
    </row>
    <row r="280" spans="3:5" ht="13.2" x14ac:dyDescent="0.25">
      <c r="C280" s="160"/>
      <c r="D280" s="160"/>
      <c r="E280" s="160"/>
    </row>
    <row r="281" spans="3:5" ht="13.2" x14ac:dyDescent="0.25">
      <c r="C281" s="160"/>
      <c r="D281" s="160"/>
      <c r="E281" s="160"/>
    </row>
    <row r="282" spans="3:5" ht="13.2" x14ac:dyDescent="0.25">
      <c r="C282" s="160"/>
      <c r="D282" s="160"/>
      <c r="E282" s="160"/>
    </row>
    <row r="283" spans="3:5" ht="13.2" x14ac:dyDescent="0.25">
      <c r="C283" s="160"/>
      <c r="D283" s="160"/>
      <c r="E283" s="160"/>
    </row>
    <row r="284" spans="3:5" ht="13.2" x14ac:dyDescent="0.25">
      <c r="C284" s="160"/>
      <c r="D284" s="160"/>
      <c r="E284" s="160"/>
    </row>
    <row r="285" spans="3:5" ht="13.2" x14ac:dyDescent="0.25">
      <c r="C285" s="160"/>
      <c r="D285" s="160"/>
      <c r="E285" s="160"/>
    </row>
    <row r="286" spans="3:5" ht="13.2" x14ac:dyDescent="0.25">
      <c r="C286" s="160"/>
      <c r="D286" s="160"/>
      <c r="E286" s="160"/>
    </row>
    <row r="287" spans="3:5" ht="13.2" x14ac:dyDescent="0.25">
      <c r="C287" s="160"/>
      <c r="D287" s="160"/>
      <c r="E287" s="160"/>
    </row>
    <row r="288" spans="3:5" ht="13.2" x14ac:dyDescent="0.25">
      <c r="C288" s="160"/>
      <c r="D288" s="160"/>
      <c r="E288" s="160"/>
    </row>
    <row r="289" spans="3:5" ht="13.2" x14ac:dyDescent="0.25">
      <c r="C289" s="160"/>
      <c r="D289" s="160"/>
      <c r="E289" s="160"/>
    </row>
    <row r="290" spans="3:5" ht="13.2" x14ac:dyDescent="0.25">
      <c r="C290" s="160"/>
      <c r="D290" s="160"/>
      <c r="E290" s="160"/>
    </row>
    <row r="291" spans="3:5" ht="13.2" x14ac:dyDescent="0.25">
      <c r="C291" s="160"/>
      <c r="D291" s="160"/>
      <c r="E291" s="160"/>
    </row>
    <row r="292" spans="3:5" ht="13.2" x14ac:dyDescent="0.25">
      <c r="C292" s="160"/>
      <c r="D292" s="160"/>
      <c r="E292" s="160"/>
    </row>
    <row r="293" spans="3:5" ht="13.2" x14ac:dyDescent="0.25">
      <c r="C293" s="160"/>
      <c r="D293" s="160"/>
      <c r="E293" s="160"/>
    </row>
    <row r="294" spans="3:5" ht="13.2" x14ac:dyDescent="0.25">
      <c r="C294" s="160"/>
      <c r="D294" s="160"/>
      <c r="E294" s="160"/>
    </row>
    <row r="295" spans="3:5" ht="13.2" x14ac:dyDescent="0.25">
      <c r="C295" s="160"/>
      <c r="D295" s="160"/>
      <c r="E295" s="160"/>
    </row>
    <row r="296" spans="3:5" ht="13.2" x14ac:dyDescent="0.25">
      <c r="C296" s="160"/>
      <c r="D296" s="160"/>
      <c r="E296" s="160"/>
    </row>
    <row r="297" spans="3:5" ht="13.2" x14ac:dyDescent="0.25">
      <c r="C297" s="160"/>
      <c r="D297" s="160"/>
      <c r="E297" s="160"/>
    </row>
    <row r="298" spans="3:5" ht="13.2" x14ac:dyDescent="0.25">
      <c r="C298" s="160"/>
      <c r="D298" s="160"/>
      <c r="E298" s="160"/>
    </row>
    <row r="299" spans="3:5" ht="13.2" x14ac:dyDescent="0.25">
      <c r="C299" s="160"/>
      <c r="D299" s="160"/>
      <c r="E299" s="160"/>
    </row>
    <row r="300" spans="3:5" ht="13.2" x14ac:dyDescent="0.25">
      <c r="C300" s="160"/>
      <c r="D300" s="160"/>
      <c r="E300" s="160"/>
    </row>
    <row r="301" spans="3:5" ht="13.2" x14ac:dyDescent="0.25">
      <c r="C301" s="160"/>
      <c r="D301" s="160"/>
      <c r="E301" s="160"/>
    </row>
    <row r="302" spans="3:5" ht="13.2" x14ac:dyDescent="0.25">
      <c r="C302" s="160"/>
      <c r="D302" s="160"/>
      <c r="E302" s="160"/>
    </row>
    <row r="303" spans="3:5" ht="13.2" x14ac:dyDescent="0.25">
      <c r="C303" s="160"/>
      <c r="D303" s="160"/>
      <c r="E303" s="160"/>
    </row>
    <row r="304" spans="3:5" ht="13.2" x14ac:dyDescent="0.25">
      <c r="C304" s="160"/>
      <c r="D304" s="160"/>
      <c r="E304" s="160"/>
    </row>
    <row r="305" spans="3:5" ht="13.2" x14ac:dyDescent="0.25">
      <c r="C305" s="160"/>
      <c r="D305" s="160"/>
      <c r="E305" s="160"/>
    </row>
    <row r="306" spans="3:5" ht="13.2" x14ac:dyDescent="0.25">
      <c r="C306" s="160"/>
      <c r="D306" s="160"/>
      <c r="E306" s="160"/>
    </row>
    <row r="307" spans="3:5" ht="13.2" x14ac:dyDescent="0.25">
      <c r="C307" s="160"/>
      <c r="D307" s="160"/>
      <c r="E307" s="160"/>
    </row>
    <row r="308" spans="3:5" ht="13.2" x14ac:dyDescent="0.25">
      <c r="C308" s="160"/>
      <c r="D308" s="160"/>
      <c r="E308" s="160"/>
    </row>
    <row r="309" spans="3:5" ht="13.2" x14ac:dyDescent="0.25">
      <c r="C309" s="160"/>
      <c r="D309" s="160"/>
      <c r="E309" s="160"/>
    </row>
    <row r="310" spans="3:5" ht="13.2" x14ac:dyDescent="0.25">
      <c r="C310" s="160"/>
      <c r="D310" s="160"/>
      <c r="E310" s="160"/>
    </row>
    <row r="311" spans="3:5" ht="13.2" x14ac:dyDescent="0.25">
      <c r="C311" s="160"/>
      <c r="D311" s="160"/>
      <c r="E311" s="160"/>
    </row>
    <row r="312" spans="3:5" ht="13.2" x14ac:dyDescent="0.25">
      <c r="C312" s="160"/>
      <c r="D312" s="160"/>
      <c r="E312" s="160"/>
    </row>
    <row r="313" spans="3:5" ht="13.2" x14ac:dyDescent="0.25">
      <c r="C313" s="160"/>
      <c r="D313" s="160"/>
      <c r="E313" s="160"/>
    </row>
    <row r="314" spans="3:5" ht="13.2" x14ac:dyDescent="0.25">
      <c r="C314" s="160"/>
      <c r="D314" s="160"/>
      <c r="E314" s="160"/>
    </row>
    <row r="315" spans="3:5" ht="13.2" x14ac:dyDescent="0.25">
      <c r="C315" s="160"/>
      <c r="D315" s="160"/>
      <c r="E315" s="160"/>
    </row>
    <row r="316" spans="3:5" ht="13.2" x14ac:dyDescent="0.25">
      <c r="C316" s="160"/>
      <c r="D316" s="160"/>
      <c r="E316" s="160"/>
    </row>
    <row r="317" spans="3:5" ht="13.2" x14ac:dyDescent="0.25">
      <c r="C317" s="160"/>
      <c r="D317" s="160"/>
      <c r="E317" s="160"/>
    </row>
    <row r="318" spans="3:5" ht="13.2" x14ac:dyDescent="0.25">
      <c r="C318" s="160"/>
      <c r="D318" s="160"/>
      <c r="E318" s="160"/>
    </row>
    <row r="319" spans="3:5" ht="13.2" x14ac:dyDescent="0.25">
      <c r="C319" s="160"/>
      <c r="D319" s="160"/>
      <c r="E319" s="160"/>
    </row>
    <row r="320" spans="3:5" ht="13.2" x14ac:dyDescent="0.25">
      <c r="C320" s="160"/>
      <c r="D320" s="160"/>
      <c r="E320" s="160"/>
    </row>
    <row r="321" spans="3:5" ht="13.2" x14ac:dyDescent="0.25">
      <c r="C321" s="160"/>
      <c r="D321" s="160"/>
      <c r="E321" s="160"/>
    </row>
    <row r="322" spans="3:5" ht="13.2" x14ac:dyDescent="0.25">
      <c r="C322" s="160"/>
      <c r="D322" s="160"/>
      <c r="E322" s="160"/>
    </row>
    <row r="323" spans="3:5" ht="13.2" x14ac:dyDescent="0.25">
      <c r="C323" s="160"/>
      <c r="D323" s="160"/>
      <c r="E323" s="160"/>
    </row>
    <row r="324" spans="3:5" ht="13.2" x14ac:dyDescent="0.25">
      <c r="C324" s="160"/>
      <c r="D324" s="160"/>
      <c r="E324" s="160"/>
    </row>
    <row r="325" spans="3:5" ht="13.2" x14ac:dyDescent="0.25">
      <c r="C325" s="160"/>
      <c r="D325" s="160"/>
      <c r="E325" s="160"/>
    </row>
    <row r="326" spans="3:5" ht="13.2" x14ac:dyDescent="0.25">
      <c r="C326" s="160"/>
      <c r="D326" s="160"/>
      <c r="E326" s="160"/>
    </row>
    <row r="327" spans="3:5" ht="13.2" x14ac:dyDescent="0.25">
      <c r="C327" s="160"/>
      <c r="D327" s="160"/>
      <c r="E327" s="160"/>
    </row>
    <row r="328" spans="3:5" ht="13.2" x14ac:dyDescent="0.25">
      <c r="C328" s="160"/>
      <c r="D328" s="160"/>
      <c r="E328" s="160"/>
    </row>
    <row r="329" spans="3:5" ht="13.2" x14ac:dyDescent="0.25">
      <c r="C329" s="160"/>
      <c r="D329" s="160"/>
      <c r="E329" s="160"/>
    </row>
    <row r="330" spans="3:5" ht="13.2" x14ac:dyDescent="0.25">
      <c r="C330" s="160"/>
      <c r="D330" s="160"/>
      <c r="E330" s="160"/>
    </row>
    <row r="331" spans="3:5" ht="13.2" x14ac:dyDescent="0.25">
      <c r="C331" s="160"/>
      <c r="D331" s="160"/>
      <c r="E331" s="160"/>
    </row>
    <row r="332" spans="3:5" ht="13.2" x14ac:dyDescent="0.25">
      <c r="C332" s="160"/>
      <c r="D332" s="160"/>
      <c r="E332" s="160"/>
    </row>
    <row r="333" spans="3:5" ht="13.2" x14ac:dyDescent="0.25">
      <c r="C333" s="160"/>
      <c r="D333" s="160"/>
      <c r="E333" s="160"/>
    </row>
    <row r="334" spans="3:5" ht="13.2" x14ac:dyDescent="0.25">
      <c r="C334" s="160"/>
      <c r="D334" s="160"/>
      <c r="E334" s="160"/>
    </row>
    <row r="335" spans="3:5" ht="13.2" x14ac:dyDescent="0.25">
      <c r="C335" s="160"/>
      <c r="D335" s="160"/>
      <c r="E335" s="160"/>
    </row>
    <row r="336" spans="3:5" ht="13.2" x14ac:dyDescent="0.25">
      <c r="C336" s="160"/>
      <c r="D336" s="160"/>
      <c r="E336" s="160"/>
    </row>
    <row r="337" spans="3:5" ht="13.2" x14ac:dyDescent="0.25">
      <c r="C337" s="160"/>
      <c r="D337" s="160"/>
      <c r="E337" s="160"/>
    </row>
    <row r="338" spans="3:5" ht="13.2" x14ac:dyDescent="0.25">
      <c r="C338" s="160"/>
      <c r="D338" s="160"/>
      <c r="E338" s="160"/>
    </row>
    <row r="339" spans="3:5" ht="13.2" x14ac:dyDescent="0.25">
      <c r="C339" s="160"/>
      <c r="D339" s="160"/>
      <c r="E339" s="160"/>
    </row>
    <row r="340" spans="3:5" ht="13.2" x14ac:dyDescent="0.25">
      <c r="C340" s="160"/>
      <c r="D340" s="160"/>
      <c r="E340" s="160"/>
    </row>
    <row r="341" spans="3:5" ht="13.2" x14ac:dyDescent="0.25">
      <c r="C341" s="160"/>
      <c r="D341" s="160"/>
      <c r="E341" s="160"/>
    </row>
    <row r="342" spans="3:5" ht="13.2" x14ac:dyDescent="0.25">
      <c r="C342" s="160"/>
      <c r="D342" s="160"/>
      <c r="E342" s="160"/>
    </row>
    <row r="343" spans="3:5" ht="13.2" x14ac:dyDescent="0.25">
      <c r="C343" s="160"/>
      <c r="D343" s="160"/>
      <c r="E343" s="160"/>
    </row>
    <row r="344" spans="3:5" ht="13.2" x14ac:dyDescent="0.25">
      <c r="C344" s="160"/>
      <c r="D344" s="160"/>
      <c r="E344" s="160"/>
    </row>
    <row r="345" spans="3:5" ht="13.2" x14ac:dyDescent="0.25">
      <c r="C345" s="160"/>
      <c r="D345" s="160"/>
      <c r="E345" s="160"/>
    </row>
    <row r="346" spans="3:5" ht="13.2" x14ac:dyDescent="0.25">
      <c r="C346" s="160"/>
      <c r="D346" s="160"/>
      <c r="E346" s="160"/>
    </row>
    <row r="347" spans="3:5" ht="13.2" x14ac:dyDescent="0.25">
      <c r="C347" s="160"/>
      <c r="D347" s="160"/>
      <c r="E347" s="160"/>
    </row>
    <row r="348" spans="3:5" ht="13.2" x14ac:dyDescent="0.25">
      <c r="C348" s="160"/>
      <c r="D348" s="160"/>
      <c r="E348" s="160"/>
    </row>
    <row r="349" spans="3:5" ht="13.2" x14ac:dyDescent="0.25">
      <c r="C349" s="160"/>
      <c r="D349" s="160"/>
      <c r="E349" s="160"/>
    </row>
    <row r="350" spans="3:5" ht="13.2" x14ac:dyDescent="0.25">
      <c r="C350" s="160"/>
      <c r="D350" s="160"/>
      <c r="E350" s="160"/>
    </row>
    <row r="351" spans="3:5" ht="13.2" x14ac:dyDescent="0.25">
      <c r="C351" s="160"/>
      <c r="D351" s="160"/>
      <c r="E351" s="160"/>
    </row>
    <row r="352" spans="3:5" ht="13.2" x14ac:dyDescent="0.25">
      <c r="C352" s="160"/>
      <c r="D352" s="160"/>
      <c r="E352" s="160"/>
    </row>
    <row r="353" spans="3:5" ht="13.2" x14ac:dyDescent="0.25">
      <c r="C353" s="160"/>
      <c r="D353" s="160"/>
      <c r="E353" s="160"/>
    </row>
    <row r="354" spans="3:5" ht="13.2" x14ac:dyDescent="0.25">
      <c r="C354" s="160"/>
      <c r="D354" s="160"/>
      <c r="E354" s="160"/>
    </row>
    <row r="355" spans="3:5" ht="13.2" x14ac:dyDescent="0.25">
      <c r="C355" s="160"/>
      <c r="D355" s="160"/>
      <c r="E355" s="160"/>
    </row>
    <row r="356" spans="3:5" ht="13.2" x14ac:dyDescent="0.25">
      <c r="C356" s="160"/>
      <c r="D356" s="160"/>
      <c r="E356" s="160"/>
    </row>
    <row r="357" spans="3:5" ht="13.2" x14ac:dyDescent="0.25">
      <c r="C357" s="160"/>
      <c r="D357" s="160"/>
      <c r="E357" s="160"/>
    </row>
    <row r="358" spans="3:5" ht="13.2" x14ac:dyDescent="0.25">
      <c r="C358" s="160"/>
      <c r="D358" s="160"/>
      <c r="E358" s="160"/>
    </row>
    <row r="359" spans="3:5" ht="13.2" x14ac:dyDescent="0.25">
      <c r="C359" s="160"/>
      <c r="D359" s="160"/>
      <c r="E359" s="160"/>
    </row>
    <row r="360" spans="3:5" ht="13.2" x14ac:dyDescent="0.25">
      <c r="C360" s="160"/>
      <c r="D360" s="160"/>
      <c r="E360" s="160"/>
    </row>
    <row r="361" spans="3:5" ht="13.2" x14ac:dyDescent="0.25">
      <c r="C361" s="160"/>
      <c r="D361" s="160"/>
      <c r="E361" s="160"/>
    </row>
    <row r="362" spans="3:5" ht="13.2" x14ac:dyDescent="0.25">
      <c r="C362" s="160"/>
      <c r="D362" s="160"/>
      <c r="E362" s="160"/>
    </row>
    <row r="363" spans="3:5" ht="13.2" x14ac:dyDescent="0.25">
      <c r="C363" s="160"/>
      <c r="D363" s="160"/>
      <c r="E363" s="160"/>
    </row>
    <row r="364" spans="3:5" ht="13.2" x14ac:dyDescent="0.25">
      <c r="C364" s="160"/>
      <c r="D364" s="160"/>
      <c r="E364" s="160"/>
    </row>
    <row r="365" spans="3:5" ht="13.2" x14ac:dyDescent="0.25">
      <c r="C365" s="160"/>
      <c r="D365" s="160"/>
      <c r="E365" s="160"/>
    </row>
    <row r="366" spans="3:5" ht="13.2" x14ac:dyDescent="0.25">
      <c r="C366" s="160"/>
      <c r="D366" s="160"/>
      <c r="E366" s="160"/>
    </row>
    <row r="367" spans="3:5" ht="13.2" x14ac:dyDescent="0.25">
      <c r="C367" s="160"/>
      <c r="D367" s="160"/>
      <c r="E367" s="160"/>
    </row>
    <row r="368" spans="3:5" ht="13.2" x14ac:dyDescent="0.25">
      <c r="C368" s="160"/>
      <c r="D368" s="160"/>
      <c r="E368" s="160"/>
    </row>
    <row r="369" spans="3:5" ht="13.2" x14ac:dyDescent="0.25">
      <c r="C369" s="160"/>
      <c r="D369" s="160"/>
      <c r="E369" s="160"/>
    </row>
    <row r="370" spans="3:5" ht="13.2" x14ac:dyDescent="0.25">
      <c r="C370" s="160"/>
      <c r="D370" s="160"/>
      <c r="E370" s="160"/>
    </row>
    <row r="371" spans="3:5" ht="13.2" x14ac:dyDescent="0.25">
      <c r="C371" s="160"/>
      <c r="D371" s="160"/>
      <c r="E371" s="160"/>
    </row>
    <row r="372" spans="3:5" ht="13.2" x14ac:dyDescent="0.25">
      <c r="C372" s="160"/>
      <c r="D372" s="160"/>
      <c r="E372" s="160"/>
    </row>
    <row r="373" spans="3:5" ht="13.2" x14ac:dyDescent="0.25">
      <c r="C373" s="160"/>
      <c r="D373" s="160"/>
      <c r="E373" s="160"/>
    </row>
    <row r="374" spans="3:5" ht="13.2" x14ac:dyDescent="0.25">
      <c r="C374" s="160"/>
      <c r="D374" s="160"/>
      <c r="E374" s="160"/>
    </row>
    <row r="375" spans="3:5" ht="13.2" x14ac:dyDescent="0.25">
      <c r="C375" s="160"/>
      <c r="D375" s="160"/>
      <c r="E375" s="160"/>
    </row>
    <row r="376" spans="3:5" ht="13.2" x14ac:dyDescent="0.25">
      <c r="C376" s="160"/>
      <c r="D376" s="160"/>
      <c r="E376" s="160"/>
    </row>
    <row r="377" spans="3:5" ht="13.2" x14ac:dyDescent="0.25">
      <c r="C377" s="160"/>
      <c r="D377" s="160"/>
      <c r="E377" s="160"/>
    </row>
    <row r="378" spans="3:5" ht="13.2" x14ac:dyDescent="0.25">
      <c r="C378" s="160"/>
      <c r="D378" s="160"/>
      <c r="E378" s="160"/>
    </row>
    <row r="379" spans="3:5" ht="13.2" x14ac:dyDescent="0.25">
      <c r="C379" s="160"/>
      <c r="D379" s="160"/>
      <c r="E379" s="160"/>
    </row>
    <row r="380" spans="3:5" ht="13.2" x14ac:dyDescent="0.25">
      <c r="C380" s="160"/>
      <c r="D380" s="160"/>
      <c r="E380" s="160"/>
    </row>
    <row r="381" spans="3:5" ht="13.2" x14ac:dyDescent="0.25">
      <c r="C381" s="160"/>
      <c r="D381" s="160"/>
      <c r="E381" s="160"/>
    </row>
    <row r="382" spans="3:5" ht="13.2" x14ac:dyDescent="0.25">
      <c r="C382" s="160"/>
      <c r="D382" s="160"/>
      <c r="E382" s="160"/>
    </row>
    <row r="383" spans="3:5" ht="13.2" x14ac:dyDescent="0.25">
      <c r="C383" s="160"/>
      <c r="D383" s="160"/>
      <c r="E383" s="160"/>
    </row>
    <row r="384" spans="3:5" ht="13.2" x14ac:dyDescent="0.25">
      <c r="C384" s="160"/>
      <c r="D384" s="160"/>
      <c r="E384" s="160"/>
    </row>
    <row r="385" spans="3:5" ht="13.2" x14ac:dyDescent="0.25">
      <c r="C385" s="160"/>
      <c r="D385" s="160"/>
      <c r="E385" s="160"/>
    </row>
    <row r="386" spans="3:5" ht="13.2" x14ac:dyDescent="0.25">
      <c r="C386" s="160"/>
      <c r="D386" s="160"/>
      <c r="E386" s="160"/>
    </row>
    <row r="387" spans="3:5" ht="13.2" x14ac:dyDescent="0.25">
      <c r="C387" s="160"/>
      <c r="D387" s="160"/>
      <c r="E387" s="160"/>
    </row>
    <row r="388" spans="3:5" ht="13.2" x14ac:dyDescent="0.25">
      <c r="C388" s="160"/>
      <c r="D388" s="160"/>
      <c r="E388" s="160"/>
    </row>
    <row r="389" spans="3:5" ht="13.2" x14ac:dyDescent="0.25">
      <c r="C389" s="160"/>
      <c r="D389" s="160"/>
      <c r="E389" s="160"/>
    </row>
    <row r="390" spans="3:5" ht="13.2" x14ac:dyDescent="0.25">
      <c r="C390" s="160"/>
      <c r="D390" s="160"/>
      <c r="E390" s="160"/>
    </row>
    <row r="391" spans="3:5" ht="13.2" x14ac:dyDescent="0.25">
      <c r="C391" s="160"/>
      <c r="D391" s="160"/>
      <c r="E391" s="160"/>
    </row>
    <row r="392" spans="3:5" ht="13.2" x14ac:dyDescent="0.25">
      <c r="C392" s="160"/>
      <c r="D392" s="160"/>
      <c r="E392" s="160"/>
    </row>
    <row r="393" spans="3:5" ht="13.2" x14ac:dyDescent="0.25">
      <c r="C393" s="160"/>
      <c r="D393" s="160"/>
      <c r="E393" s="160"/>
    </row>
    <row r="394" spans="3:5" ht="13.2" x14ac:dyDescent="0.25">
      <c r="C394" s="160"/>
      <c r="D394" s="160"/>
      <c r="E394" s="160"/>
    </row>
    <row r="395" spans="3:5" ht="13.2" x14ac:dyDescent="0.25">
      <c r="C395" s="160"/>
      <c r="D395" s="160"/>
      <c r="E395" s="160"/>
    </row>
    <row r="396" spans="3:5" ht="13.2" x14ac:dyDescent="0.25">
      <c r="C396" s="160"/>
      <c r="D396" s="160"/>
      <c r="E396" s="160"/>
    </row>
    <row r="397" spans="3:5" ht="13.2" x14ac:dyDescent="0.25">
      <c r="C397" s="160"/>
      <c r="D397" s="160"/>
      <c r="E397" s="160"/>
    </row>
    <row r="398" spans="3:5" ht="13.2" x14ac:dyDescent="0.25">
      <c r="C398" s="160"/>
      <c r="D398" s="160"/>
      <c r="E398" s="160"/>
    </row>
    <row r="399" spans="3:5" ht="13.2" x14ac:dyDescent="0.25">
      <c r="C399" s="160"/>
      <c r="D399" s="160"/>
      <c r="E399" s="160"/>
    </row>
    <row r="400" spans="3:5" ht="13.2" x14ac:dyDescent="0.25">
      <c r="C400" s="160"/>
      <c r="D400" s="160"/>
      <c r="E400" s="160"/>
    </row>
    <row r="401" spans="3:5" ht="13.2" x14ac:dyDescent="0.25">
      <c r="C401" s="160"/>
      <c r="D401" s="160"/>
      <c r="E401" s="160"/>
    </row>
    <row r="402" spans="3:5" ht="13.2" x14ac:dyDescent="0.25">
      <c r="C402" s="160"/>
      <c r="D402" s="160"/>
      <c r="E402" s="160"/>
    </row>
    <row r="403" spans="3:5" ht="13.2" x14ac:dyDescent="0.25">
      <c r="C403" s="160"/>
      <c r="D403" s="160"/>
      <c r="E403" s="160"/>
    </row>
    <row r="404" spans="3:5" ht="13.2" x14ac:dyDescent="0.25">
      <c r="C404" s="160"/>
      <c r="D404" s="160"/>
      <c r="E404" s="160"/>
    </row>
    <row r="405" spans="3:5" ht="13.2" x14ac:dyDescent="0.25">
      <c r="C405" s="160"/>
      <c r="D405" s="160"/>
      <c r="E405" s="160"/>
    </row>
    <row r="406" spans="3:5" ht="13.2" x14ac:dyDescent="0.25">
      <c r="C406" s="160"/>
      <c r="D406" s="160"/>
      <c r="E406" s="160"/>
    </row>
    <row r="407" spans="3:5" ht="13.2" x14ac:dyDescent="0.25">
      <c r="C407" s="160"/>
      <c r="D407" s="160"/>
      <c r="E407" s="160"/>
    </row>
    <row r="408" spans="3:5" ht="13.2" x14ac:dyDescent="0.25">
      <c r="C408" s="160"/>
      <c r="D408" s="160"/>
      <c r="E408" s="160"/>
    </row>
    <row r="409" spans="3:5" ht="13.2" x14ac:dyDescent="0.25">
      <c r="C409" s="160"/>
      <c r="D409" s="160"/>
      <c r="E409" s="160"/>
    </row>
    <row r="410" spans="3:5" ht="13.2" x14ac:dyDescent="0.25">
      <c r="C410" s="160"/>
      <c r="D410" s="160"/>
      <c r="E410" s="160"/>
    </row>
    <row r="411" spans="3:5" ht="13.2" x14ac:dyDescent="0.25">
      <c r="C411" s="160"/>
      <c r="D411" s="160"/>
      <c r="E411" s="160"/>
    </row>
    <row r="412" spans="3:5" ht="13.2" x14ac:dyDescent="0.25">
      <c r="C412" s="160"/>
      <c r="D412" s="160"/>
      <c r="E412" s="160"/>
    </row>
    <row r="413" spans="3:5" ht="13.2" x14ac:dyDescent="0.25">
      <c r="C413" s="160"/>
      <c r="D413" s="160"/>
      <c r="E413" s="160"/>
    </row>
    <row r="414" spans="3:5" ht="13.2" x14ac:dyDescent="0.25">
      <c r="C414" s="160"/>
      <c r="D414" s="160"/>
      <c r="E414" s="160"/>
    </row>
    <row r="415" spans="3:5" ht="13.2" x14ac:dyDescent="0.25">
      <c r="C415" s="160"/>
      <c r="D415" s="160"/>
      <c r="E415" s="160"/>
    </row>
    <row r="416" spans="3:5" ht="13.2" x14ac:dyDescent="0.25">
      <c r="C416" s="160"/>
      <c r="D416" s="160"/>
      <c r="E416" s="160"/>
    </row>
    <row r="417" spans="3:5" ht="13.2" x14ac:dyDescent="0.25">
      <c r="C417" s="160"/>
      <c r="D417" s="160"/>
      <c r="E417" s="160"/>
    </row>
    <row r="418" spans="3:5" ht="13.2" x14ac:dyDescent="0.25">
      <c r="C418" s="160"/>
      <c r="D418" s="160"/>
      <c r="E418" s="160"/>
    </row>
    <row r="419" spans="3:5" ht="13.2" x14ac:dyDescent="0.25">
      <c r="C419" s="160"/>
      <c r="D419" s="160"/>
      <c r="E419" s="160"/>
    </row>
    <row r="420" spans="3:5" ht="13.2" x14ac:dyDescent="0.25">
      <c r="C420" s="160"/>
      <c r="D420" s="160"/>
      <c r="E420" s="160"/>
    </row>
    <row r="421" spans="3:5" ht="13.2" x14ac:dyDescent="0.25">
      <c r="C421" s="160"/>
      <c r="D421" s="160"/>
      <c r="E421" s="160"/>
    </row>
    <row r="422" spans="3:5" ht="13.2" x14ac:dyDescent="0.25">
      <c r="C422" s="160"/>
      <c r="D422" s="160"/>
      <c r="E422" s="160"/>
    </row>
    <row r="423" spans="3:5" ht="13.2" x14ac:dyDescent="0.25">
      <c r="C423" s="160"/>
      <c r="D423" s="160"/>
      <c r="E423" s="160"/>
    </row>
    <row r="424" spans="3:5" ht="13.2" x14ac:dyDescent="0.25">
      <c r="C424" s="160"/>
      <c r="D424" s="160"/>
      <c r="E424" s="160"/>
    </row>
    <row r="425" spans="3:5" ht="13.2" x14ac:dyDescent="0.25">
      <c r="C425" s="160"/>
      <c r="D425" s="160"/>
      <c r="E425" s="160"/>
    </row>
    <row r="426" spans="3:5" ht="13.2" x14ac:dyDescent="0.25">
      <c r="C426" s="160"/>
      <c r="D426" s="160"/>
      <c r="E426" s="160"/>
    </row>
    <row r="427" spans="3:5" ht="13.2" x14ac:dyDescent="0.25">
      <c r="C427" s="160"/>
      <c r="D427" s="160"/>
      <c r="E427" s="160"/>
    </row>
    <row r="428" spans="3:5" ht="13.2" x14ac:dyDescent="0.25">
      <c r="C428" s="160"/>
      <c r="D428" s="160"/>
      <c r="E428" s="160"/>
    </row>
    <row r="429" spans="3:5" ht="13.2" x14ac:dyDescent="0.25">
      <c r="C429" s="160"/>
      <c r="D429" s="160"/>
      <c r="E429" s="160"/>
    </row>
    <row r="430" spans="3:5" ht="13.2" x14ac:dyDescent="0.25">
      <c r="C430" s="160"/>
      <c r="D430" s="160"/>
      <c r="E430" s="160"/>
    </row>
    <row r="431" spans="3:5" ht="13.2" x14ac:dyDescent="0.25">
      <c r="C431" s="160"/>
      <c r="D431" s="160"/>
      <c r="E431" s="160"/>
    </row>
    <row r="432" spans="3:5" ht="13.2" x14ac:dyDescent="0.25">
      <c r="C432" s="160"/>
      <c r="D432" s="160"/>
      <c r="E432" s="160"/>
    </row>
    <row r="433" spans="3:5" ht="13.2" x14ac:dyDescent="0.25">
      <c r="C433" s="160"/>
      <c r="D433" s="160"/>
      <c r="E433" s="160"/>
    </row>
    <row r="434" spans="3:5" ht="13.2" x14ac:dyDescent="0.25">
      <c r="C434" s="160"/>
      <c r="D434" s="160"/>
      <c r="E434" s="160"/>
    </row>
    <row r="435" spans="3:5" ht="13.2" x14ac:dyDescent="0.25">
      <c r="C435" s="160"/>
      <c r="D435" s="160"/>
      <c r="E435" s="160"/>
    </row>
    <row r="436" spans="3:5" ht="13.2" x14ac:dyDescent="0.25">
      <c r="C436" s="160"/>
      <c r="D436" s="160"/>
      <c r="E436" s="160"/>
    </row>
    <row r="437" spans="3:5" ht="13.2" x14ac:dyDescent="0.25">
      <c r="C437" s="160"/>
      <c r="D437" s="160"/>
      <c r="E437" s="160"/>
    </row>
    <row r="438" spans="3:5" ht="13.2" x14ac:dyDescent="0.25">
      <c r="C438" s="160"/>
      <c r="D438" s="160"/>
      <c r="E438" s="160"/>
    </row>
    <row r="439" spans="3:5" ht="13.2" x14ac:dyDescent="0.25">
      <c r="C439" s="160"/>
      <c r="D439" s="160"/>
      <c r="E439" s="160"/>
    </row>
    <row r="440" spans="3:5" ht="13.2" x14ac:dyDescent="0.25">
      <c r="C440" s="160"/>
      <c r="D440" s="160"/>
      <c r="E440" s="160"/>
    </row>
    <row r="441" spans="3:5" ht="13.2" x14ac:dyDescent="0.25">
      <c r="C441" s="160"/>
      <c r="D441" s="160"/>
      <c r="E441" s="160"/>
    </row>
    <row r="442" spans="3:5" ht="13.2" x14ac:dyDescent="0.25">
      <c r="C442" s="160"/>
      <c r="D442" s="160"/>
      <c r="E442" s="160"/>
    </row>
    <row r="443" spans="3:5" ht="13.2" x14ac:dyDescent="0.25">
      <c r="C443" s="160"/>
      <c r="D443" s="160"/>
      <c r="E443" s="160"/>
    </row>
    <row r="444" spans="3:5" ht="13.2" x14ac:dyDescent="0.25">
      <c r="C444" s="160"/>
      <c r="D444" s="160"/>
      <c r="E444" s="160"/>
    </row>
    <row r="445" spans="3:5" ht="13.2" x14ac:dyDescent="0.25">
      <c r="C445" s="160"/>
      <c r="D445" s="160"/>
      <c r="E445" s="160"/>
    </row>
    <row r="446" spans="3:5" ht="13.2" x14ac:dyDescent="0.25">
      <c r="C446" s="160"/>
      <c r="D446" s="160"/>
      <c r="E446" s="160"/>
    </row>
    <row r="447" spans="3:5" ht="13.2" x14ac:dyDescent="0.25">
      <c r="C447" s="160"/>
      <c r="D447" s="160"/>
      <c r="E447" s="160"/>
    </row>
    <row r="448" spans="3:5" ht="13.2" x14ac:dyDescent="0.25">
      <c r="C448" s="160"/>
      <c r="D448" s="160"/>
      <c r="E448" s="160"/>
    </row>
    <row r="449" spans="3:5" ht="13.2" x14ac:dyDescent="0.25">
      <c r="C449" s="160"/>
      <c r="D449" s="160"/>
      <c r="E449" s="160"/>
    </row>
    <row r="450" spans="3:5" ht="13.2" x14ac:dyDescent="0.25">
      <c r="C450" s="160"/>
      <c r="D450" s="160"/>
      <c r="E450" s="160"/>
    </row>
    <row r="451" spans="3:5" ht="13.2" x14ac:dyDescent="0.25">
      <c r="C451" s="160"/>
      <c r="D451" s="160"/>
      <c r="E451" s="160"/>
    </row>
    <row r="452" spans="3:5" ht="13.2" x14ac:dyDescent="0.25">
      <c r="C452" s="160"/>
      <c r="D452" s="160"/>
      <c r="E452" s="160"/>
    </row>
    <row r="453" spans="3:5" ht="13.2" x14ac:dyDescent="0.25">
      <c r="C453" s="160"/>
      <c r="D453" s="160"/>
      <c r="E453" s="160"/>
    </row>
    <row r="454" spans="3:5" ht="13.2" x14ac:dyDescent="0.25">
      <c r="C454" s="160"/>
      <c r="D454" s="160"/>
      <c r="E454" s="160"/>
    </row>
    <row r="455" spans="3:5" ht="13.2" x14ac:dyDescent="0.25">
      <c r="C455" s="160"/>
      <c r="D455" s="160"/>
      <c r="E455" s="160"/>
    </row>
    <row r="456" spans="3:5" ht="13.2" x14ac:dyDescent="0.25">
      <c r="C456" s="160"/>
      <c r="D456" s="160"/>
      <c r="E456" s="160"/>
    </row>
    <row r="457" spans="3:5" ht="13.2" x14ac:dyDescent="0.25">
      <c r="C457" s="160"/>
      <c r="D457" s="160"/>
      <c r="E457" s="160"/>
    </row>
    <row r="458" spans="3:5" ht="13.2" x14ac:dyDescent="0.25">
      <c r="C458" s="160"/>
      <c r="D458" s="160"/>
      <c r="E458" s="160"/>
    </row>
    <row r="459" spans="3:5" ht="13.2" x14ac:dyDescent="0.25">
      <c r="C459" s="160"/>
      <c r="D459" s="160"/>
      <c r="E459" s="160"/>
    </row>
    <row r="460" spans="3:5" ht="13.2" x14ac:dyDescent="0.25">
      <c r="C460" s="160"/>
      <c r="D460" s="160"/>
      <c r="E460" s="160"/>
    </row>
    <row r="461" spans="3:5" ht="13.2" x14ac:dyDescent="0.25">
      <c r="C461" s="160"/>
      <c r="D461" s="160"/>
      <c r="E461" s="160"/>
    </row>
    <row r="462" spans="3:5" ht="13.2" x14ac:dyDescent="0.25">
      <c r="C462" s="160"/>
      <c r="D462" s="160"/>
      <c r="E462" s="160"/>
    </row>
    <row r="463" spans="3:5" ht="13.2" x14ac:dyDescent="0.25">
      <c r="C463" s="160"/>
      <c r="D463" s="160"/>
      <c r="E463" s="160"/>
    </row>
    <row r="464" spans="3:5" ht="13.2" x14ac:dyDescent="0.25">
      <c r="C464" s="160"/>
      <c r="D464" s="160"/>
      <c r="E464" s="160"/>
    </row>
    <row r="465" spans="3:5" ht="13.2" x14ac:dyDescent="0.25">
      <c r="C465" s="160"/>
      <c r="D465" s="160"/>
      <c r="E465" s="160"/>
    </row>
    <row r="466" spans="3:5" ht="13.2" x14ac:dyDescent="0.25">
      <c r="C466" s="160"/>
      <c r="D466" s="160"/>
      <c r="E466" s="160"/>
    </row>
    <row r="467" spans="3:5" ht="13.2" x14ac:dyDescent="0.25">
      <c r="C467" s="160"/>
      <c r="D467" s="160"/>
      <c r="E467" s="160"/>
    </row>
    <row r="468" spans="3:5" ht="13.2" x14ac:dyDescent="0.25">
      <c r="C468" s="160"/>
      <c r="D468" s="160"/>
      <c r="E468" s="160"/>
    </row>
    <row r="469" spans="3:5" ht="13.2" x14ac:dyDescent="0.25">
      <c r="C469" s="160"/>
      <c r="D469" s="160"/>
      <c r="E469" s="160"/>
    </row>
    <row r="470" spans="3:5" ht="13.2" x14ac:dyDescent="0.25">
      <c r="C470" s="160"/>
      <c r="D470" s="160"/>
      <c r="E470" s="160"/>
    </row>
    <row r="471" spans="3:5" ht="13.2" x14ac:dyDescent="0.25">
      <c r="C471" s="160"/>
      <c r="D471" s="160"/>
      <c r="E471" s="160"/>
    </row>
    <row r="472" spans="3:5" ht="13.2" x14ac:dyDescent="0.25">
      <c r="C472" s="160"/>
      <c r="D472" s="160"/>
      <c r="E472" s="160"/>
    </row>
    <row r="473" spans="3:5" ht="13.2" x14ac:dyDescent="0.25">
      <c r="C473" s="160"/>
      <c r="D473" s="160"/>
      <c r="E473" s="160"/>
    </row>
    <row r="474" spans="3:5" ht="13.2" x14ac:dyDescent="0.25">
      <c r="C474" s="160"/>
      <c r="D474" s="160"/>
      <c r="E474" s="160"/>
    </row>
    <row r="475" spans="3:5" ht="13.2" x14ac:dyDescent="0.25">
      <c r="C475" s="160"/>
      <c r="D475" s="160"/>
      <c r="E475" s="160"/>
    </row>
    <row r="476" spans="3:5" ht="13.2" x14ac:dyDescent="0.25">
      <c r="C476" s="160"/>
      <c r="D476" s="160"/>
      <c r="E476" s="160"/>
    </row>
    <row r="477" spans="3:5" ht="13.2" x14ac:dyDescent="0.25">
      <c r="C477" s="160"/>
      <c r="D477" s="160"/>
      <c r="E477" s="160"/>
    </row>
    <row r="478" spans="3:5" ht="13.2" x14ac:dyDescent="0.25">
      <c r="C478" s="160"/>
      <c r="D478" s="160"/>
      <c r="E478" s="160"/>
    </row>
    <row r="479" spans="3:5" ht="13.2" x14ac:dyDescent="0.25">
      <c r="C479" s="160"/>
      <c r="D479" s="160"/>
      <c r="E479" s="160"/>
    </row>
    <row r="480" spans="3:5" ht="13.2" x14ac:dyDescent="0.25">
      <c r="C480" s="160"/>
      <c r="D480" s="160"/>
      <c r="E480" s="160"/>
    </row>
    <row r="481" spans="3:5" ht="13.2" x14ac:dyDescent="0.25">
      <c r="C481" s="160"/>
      <c r="D481" s="160"/>
      <c r="E481" s="160"/>
    </row>
    <row r="482" spans="3:5" ht="13.2" x14ac:dyDescent="0.25">
      <c r="C482" s="160"/>
      <c r="D482" s="160"/>
      <c r="E482" s="160"/>
    </row>
    <row r="483" spans="3:5" ht="13.2" x14ac:dyDescent="0.25">
      <c r="C483" s="160"/>
      <c r="D483" s="160"/>
      <c r="E483" s="160"/>
    </row>
    <row r="484" spans="3:5" ht="13.2" x14ac:dyDescent="0.25">
      <c r="C484" s="160"/>
      <c r="D484" s="160"/>
      <c r="E484" s="160"/>
    </row>
    <row r="485" spans="3:5" ht="13.2" x14ac:dyDescent="0.25">
      <c r="C485" s="160"/>
      <c r="D485" s="160"/>
      <c r="E485" s="160"/>
    </row>
    <row r="486" spans="3:5" ht="13.2" x14ac:dyDescent="0.25">
      <c r="C486" s="160"/>
      <c r="D486" s="160"/>
      <c r="E486" s="160"/>
    </row>
    <row r="487" spans="3:5" ht="13.2" x14ac:dyDescent="0.25">
      <c r="C487" s="160"/>
      <c r="D487" s="160"/>
      <c r="E487" s="160"/>
    </row>
    <row r="488" spans="3:5" ht="13.2" x14ac:dyDescent="0.25">
      <c r="C488" s="160"/>
      <c r="D488" s="160"/>
      <c r="E488" s="160"/>
    </row>
    <row r="489" spans="3:5" ht="13.2" x14ac:dyDescent="0.25">
      <c r="C489" s="160"/>
      <c r="D489" s="160"/>
      <c r="E489" s="160"/>
    </row>
    <row r="490" spans="3:5" ht="13.2" x14ac:dyDescent="0.25">
      <c r="C490" s="160"/>
      <c r="D490" s="160"/>
      <c r="E490" s="160"/>
    </row>
    <row r="491" spans="3:5" ht="13.2" x14ac:dyDescent="0.25">
      <c r="C491" s="160"/>
      <c r="D491" s="160"/>
      <c r="E491" s="160"/>
    </row>
    <row r="492" spans="3:5" ht="13.2" x14ac:dyDescent="0.25">
      <c r="C492" s="160"/>
      <c r="D492" s="160"/>
      <c r="E492" s="160"/>
    </row>
    <row r="493" spans="3:5" ht="13.2" x14ac:dyDescent="0.25">
      <c r="C493" s="160"/>
      <c r="D493" s="160"/>
      <c r="E493" s="160"/>
    </row>
    <row r="494" spans="3:5" ht="13.2" x14ac:dyDescent="0.25">
      <c r="C494" s="160"/>
      <c r="D494" s="160"/>
      <c r="E494" s="160"/>
    </row>
    <row r="495" spans="3:5" ht="13.2" x14ac:dyDescent="0.25">
      <c r="C495" s="160"/>
      <c r="D495" s="160"/>
      <c r="E495" s="160"/>
    </row>
    <row r="496" spans="3:5" ht="13.2" x14ac:dyDescent="0.25">
      <c r="C496" s="160"/>
      <c r="D496" s="160"/>
      <c r="E496" s="160"/>
    </row>
    <row r="497" spans="3:5" ht="13.2" x14ac:dyDescent="0.25">
      <c r="C497" s="160"/>
      <c r="D497" s="160"/>
      <c r="E497" s="160"/>
    </row>
    <row r="498" spans="3:5" ht="13.2" x14ac:dyDescent="0.25">
      <c r="C498" s="160"/>
      <c r="D498" s="160"/>
      <c r="E498" s="160"/>
    </row>
    <row r="499" spans="3:5" ht="13.2" x14ac:dyDescent="0.25">
      <c r="C499" s="160"/>
      <c r="D499" s="160"/>
      <c r="E499" s="160"/>
    </row>
    <row r="500" spans="3:5" ht="13.2" x14ac:dyDescent="0.25">
      <c r="C500" s="160"/>
      <c r="D500" s="160"/>
      <c r="E500" s="160"/>
    </row>
    <row r="501" spans="3:5" ht="13.2" x14ac:dyDescent="0.25">
      <c r="C501" s="160"/>
      <c r="D501" s="160"/>
      <c r="E501" s="160"/>
    </row>
    <row r="502" spans="3:5" ht="13.2" x14ac:dyDescent="0.25">
      <c r="C502" s="160"/>
      <c r="D502" s="160"/>
      <c r="E502" s="160"/>
    </row>
    <row r="503" spans="3:5" ht="13.2" x14ac:dyDescent="0.25">
      <c r="C503" s="160"/>
      <c r="D503" s="160"/>
      <c r="E503" s="160"/>
    </row>
    <row r="504" spans="3:5" ht="13.2" x14ac:dyDescent="0.25">
      <c r="C504" s="160"/>
      <c r="D504" s="160"/>
      <c r="E504" s="160"/>
    </row>
    <row r="505" spans="3:5" ht="13.2" x14ac:dyDescent="0.25">
      <c r="C505" s="160"/>
      <c r="D505" s="160"/>
      <c r="E505" s="160"/>
    </row>
    <row r="506" spans="3:5" ht="13.2" x14ac:dyDescent="0.25">
      <c r="C506" s="160"/>
      <c r="D506" s="160"/>
      <c r="E506" s="160"/>
    </row>
    <row r="507" spans="3:5" ht="13.2" x14ac:dyDescent="0.25">
      <c r="C507" s="160"/>
      <c r="D507" s="160"/>
      <c r="E507" s="160"/>
    </row>
    <row r="508" spans="3:5" ht="13.2" x14ac:dyDescent="0.25">
      <c r="C508" s="160"/>
      <c r="D508" s="160"/>
      <c r="E508" s="160"/>
    </row>
    <row r="509" spans="3:5" ht="13.2" x14ac:dyDescent="0.25">
      <c r="C509" s="160"/>
      <c r="D509" s="160"/>
      <c r="E509" s="160"/>
    </row>
    <row r="510" spans="3:5" ht="13.2" x14ac:dyDescent="0.25">
      <c r="C510" s="160"/>
      <c r="D510" s="160"/>
      <c r="E510" s="160"/>
    </row>
    <row r="511" spans="3:5" ht="13.2" x14ac:dyDescent="0.25">
      <c r="C511" s="160"/>
      <c r="D511" s="160"/>
      <c r="E511" s="160"/>
    </row>
    <row r="512" spans="3:5" ht="13.2" x14ac:dyDescent="0.25">
      <c r="C512" s="160"/>
      <c r="D512" s="160"/>
      <c r="E512" s="160"/>
    </row>
    <row r="513" spans="3:5" ht="13.2" x14ac:dyDescent="0.25">
      <c r="C513" s="160"/>
      <c r="D513" s="160"/>
      <c r="E513" s="160"/>
    </row>
    <row r="514" spans="3:5" ht="13.2" x14ac:dyDescent="0.25">
      <c r="C514" s="160"/>
      <c r="D514" s="160"/>
      <c r="E514" s="160"/>
    </row>
    <row r="515" spans="3:5" ht="13.2" x14ac:dyDescent="0.25">
      <c r="C515" s="160"/>
      <c r="D515" s="160"/>
      <c r="E515" s="160"/>
    </row>
    <row r="516" spans="3:5" ht="13.2" x14ac:dyDescent="0.25">
      <c r="C516" s="160"/>
      <c r="D516" s="160"/>
      <c r="E516" s="160"/>
    </row>
    <row r="517" spans="3:5" ht="13.2" x14ac:dyDescent="0.25">
      <c r="C517" s="160"/>
      <c r="D517" s="160"/>
      <c r="E517" s="160"/>
    </row>
    <row r="518" spans="3:5" ht="13.2" x14ac:dyDescent="0.25">
      <c r="C518" s="160"/>
      <c r="D518" s="160"/>
      <c r="E518" s="160"/>
    </row>
    <row r="519" spans="3:5" ht="13.2" x14ac:dyDescent="0.25">
      <c r="C519" s="160"/>
      <c r="D519" s="160"/>
      <c r="E519" s="160"/>
    </row>
    <row r="520" spans="3:5" ht="13.2" x14ac:dyDescent="0.25">
      <c r="C520" s="160"/>
      <c r="D520" s="160"/>
      <c r="E520" s="160"/>
    </row>
    <row r="521" spans="3:5" ht="13.2" x14ac:dyDescent="0.25">
      <c r="C521" s="160"/>
      <c r="D521" s="160"/>
      <c r="E521" s="160"/>
    </row>
    <row r="522" spans="3:5" ht="13.2" x14ac:dyDescent="0.25">
      <c r="C522" s="160"/>
      <c r="D522" s="160"/>
      <c r="E522" s="160"/>
    </row>
    <row r="523" spans="3:5" ht="13.2" x14ac:dyDescent="0.25">
      <c r="C523" s="160"/>
      <c r="D523" s="160"/>
      <c r="E523" s="160"/>
    </row>
    <row r="524" spans="3:5" ht="13.2" x14ac:dyDescent="0.25">
      <c r="C524" s="160"/>
      <c r="D524" s="160"/>
      <c r="E524" s="160"/>
    </row>
    <row r="525" spans="3:5" ht="13.2" x14ac:dyDescent="0.25">
      <c r="C525" s="160"/>
      <c r="D525" s="160"/>
      <c r="E525" s="160"/>
    </row>
    <row r="526" spans="3:5" ht="13.2" x14ac:dyDescent="0.25">
      <c r="C526" s="160"/>
      <c r="D526" s="160"/>
      <c r="E526" s="160"/>
    </row>
    <row r="527" spans="3:5" ht="13.2" x14ac:dyDescent="0.25">
      <c r="C527" s="160"/>
      <c r="D527" s="160"/>
      <c r="E527" s="160"/>
    </row>
    <row r="528" spans="3:5" ht="13.2" x14ac:dyDescent="0.25">
      <c r="C528" s="160"/>
      <c r="D528" s="160"/>
      <c r="E528" s="160"/>
    </row>
    <row r="529" spans="3:5" ht="13.2" x14ac:dyDescent="0.25">
      <c r="C529" s="160"/>
      <c r="D529" s="160"/>
      <c r="E529" s="160"/>
    </row>
    <row r="530" spans="3:5" ht="13.2" x14ac:dyDescent="0.25">
      <c r="C530" s="160"/>
      <c r="D530" s="160"/>
      <c r="E530" s="160"/>
    </row>
    <row r="531" spans="3:5" ht="13.2" x14ac:dyDescent="0.25">
      <c r="C531" s="160"/>
      <c r="D531" s="160"/>
      <c r="E531" s="160"/>
    </row>
    <row r="532" spans="3:5" ht="13.2" x14ac:dyDescent="0.25">
      <c r="C532" s="160"/>
      <c r="D532" s="160"/>
      <c r="E532" s="160"/>
    </row>
    <row r="533" spans="3:5" ht="13.2" x14ac:dyDescent="0.25">
      <c r="C533" s="160"/>
      <c r="D533" s="160"/>
      <c r="E533" s="160"/>
    </row>
    <row r="534" spans="3:5" ht="13.2" x14ac:dyDescent="0.25">
      <c r="C534" s="160"/>
      <c r="D534" s="160"/>
      <c r="E534" s="160"/>
    </row>
    <row r="535" spans="3:5" ht="13.2" x14ac:dyDescent="0.25">
      <c r="C535" s="160"/>
      <c r="D535" s="160"/>
      <c r="E535" s="160"/>
    </row>
    <row r="536" spans="3:5" ht="13.2" x14ac:dyDescent="0.25">
      <c r="C536" s="160"/>
      <c r="D536" s="160"/>
      <c r="E536" s="160"/>
    </row>
    <row r="537" spans="3:5" ht="13.2" x14ac:dyDescent="0.25">
      <c r="C537" s="160"/>
      <c r="D537" s="160"/>
      <c r="E537" s="160"/>
    </row>
    <row r="538" spans="3:5" ht="13.2" x14ac:dyDescent="0.25">
      <c r="C538" s="160"/>
      <c r="D538" s="160"/>
      <c r="E538" s="160"/>
    </row>
    <row r="539" spans="3:5" ht="13.2" x14ac:dyDescent="0.25">
      <c r="C539" s="160"/>
      <c r="D539" s="160"/>
      <c r="E539" s="160"/>
    </row>
    <row r="540" spans="3:5" ht="13.2" x14ac:dyDescent="0.25">
      <c r="C540" s="160"/>
      <c r="D540" s="160"/>
      <c r="E540" s="160"/>
    </row>
    <row r="541" spans="3:5" ht="13.2" x14ac:dyDescent="0.25">
      <c r="C541" s="160"/>
      <c r="D541" s="160"/>
      <c r="E541" s="160"/>
    </row>
    <row r="542" spans="3:5" ht="13.2" x14ac:dyDescent="0.25">
      <c r="C542" s="160"/>
      <c r="D542" s="160"/>
      <c r="E542" s="160"/>
    </row>
    <row r="543" spans="3:5" ht="13.2" x14ac:dyDescent="0.25">
      <c r="C543" s="160"/>
      <c r="D543" s="160"/>
      <c r="E543" s="160"/>
    </row>
    <row r="544" spans="3:5" ht="13.2" x14ac:dyDescent="0.25">
      <c r="C544" s="160"/>
      <c r="D544" s="160"/>
      <c r="E544" s="160"/>
    </row>
    <row r="545" spans="3:5" ht="13.2" x14ac:dyDescent="0.25">
      <c r="C545" s="160"/>
      <c r="D545" s="160"/>
      <c r="E545" s="160"/>
    </row>
    <row r="546" spans="3:5" ht="13.2" x14ac:dyDescent="0.25">
      <c r="C546" s="160"/>
      <c r="D546" s="160"/>
      <c r="E546" s="160"/>
    </row>
    <row r="547" spans="3:5" ht="13.2" x14ac:dyDescent="0.25">
      <c r="C547" s="160"/>
      <c r="D547" s="160"/>
      <c r="E547" s="160"/>
    </row>
    <row r="548" spans="3:5" ht="13.2" x14ac:dyDescent="0.25">
      <c r="C548" s="160"/>
      <c r="D548" s="160"/>
      <c r="E548" s="160"/>
    </row>
    <row r="549" spans="3:5" ht="13.2" x14ac:dyDescent="0.25">
      <c r="C549" s="160"/>
      <c r="D549" s="160"/>
      <c r="E549" s="160"/>
    </row>
    <row r="550" spans="3:5" ht="13.2" x14ac:dyDescent="0.25">
      <c r="C550" s="160"/>
      <c r="D550" s="160"/>
      <c r="E550" s="160"/>
    </row>
    <row r="551" spans="3:5" ht="13.2" x14ac:dyDescent="0.25">
      <c r="C551" s="160"/>
      <c r="D551" s="160"/>
      <c r="E551" s="160"/>
    </row>
    <row r="552" spans="3:5" ht="13.2" x14ac:dyDescent="0.25">
      <c r="C552" s="160"/>
      <c r="D552" s="160"/>
      <c r="E552" s="160"/>
    </row>
    <row r="553" spans="3:5" ht="13.2" x14ac:dyDescent="0.25">
      <c r="C553" s="160"/>
      <c r="D553" s="160"/>
      <c r="E553" s="160"/>
    </row>
    <row r="554" spans="3:5" ht="13.2" x14ac:dyDescent="0.25">
      <c r="C554" s="160"/>
      <c r="D554" s="160"/>
      <c r="E554" s="160"/>
    </row>
    <row r="555" spans="3:5" ht="13.2" x14ac:dyDescent="0.25">
      <c r="C555" s="160"/>
      <c r="D555" s="160"/>
      <c r="E555" s="160"/>
    </row>
    <row r="556" spans="3:5" ht="13.2" x14ac:dyDescent="0.25">
      <c r="C556" s="160"/>
      <c r="D556" s="160"/>
      <c r="E556" s="160"/>
    </row>
    <row r="557" spans="3:5" ht="13.2" x14ac:dyDescent="0.25">
      <c r="C557" s="160"/>
      <c r="D557" s="160"/>
      <c r="E557" s="160"/>
    </row>
    <row r="558" spans="3:5" ht="13.2" x14ac:dyDescent="0.25">
      <c r="C558" s="160"/>
      <c r="D558" s="160"/>
      <c r="E558" s="160"/>
    </row>
    <row r="559" spans="3:5" ht="13.2" x14ac:dyDescent="0.25">
      <c r="C559" s="160"/>
      <c r="D559" s="160"/>
      <c r="E559" s="160"/>
    </row>
    <row r="560" spans="3:5" ht="13.2" x14ac:dyDescent="0.25">
      <c r="C560" s="160"/>
      <c r="D560" s="160"/>
      <c r="E560" s="160"/>
    </row>
    <row r="561" spans="3:5" ht="13.2" x14ac:dyDescent="0.25">
      <c r="C561" s="160"/>
      <c r="D561" s="160"/>
      <c r="E561" s="160"/>
    </row>
    <row r="562" spans="3:5" ht="13.2" x14ac:dyDescent="0.25">
      <c r="C562" s="160"/>
      <c r="D562" s="160"/>
      <c r="E562" s="160"/>
    </row>
    <row r="563" spans="3:5" ht="13.2" x14ac:dyDescent="0.25">
      <c r="C563" s="160"/>
      <c r="D563" s="160"/>
      <c r="E563" s="160"/>
    </row>
    <row r="564" spans="3:5" ht="13.2" x14ac:dyDescent="0.25">
      <c r="C564" s="160"/>
      <c r="D564" s="160"/>
      <c r="E564" s="160"/>
    </row>
    <row r="565" spans="3:5" ht="13.2" x14ac:dyDescent="0.25">
      <c r="C565" s="160"/>
      <c r="D565" s="160"/>
      <c r="E565" s="160"/>
    </row>
    <row r="566" spans="3:5" ht="13.2" x14ac:dyDescent="0.25">
      <c r="C566" s="160"/>
      <c r="D566" s="160"/>
      <c r="E566" s="160"/>
    </row>
    <row r="567" spans="3:5" ht="13.2" x14ac:dyDescent="0.25">
      <c r="C567" s="160"/>
      <c r="D567" s="160"/>
      <c r="E567" s="160"/>
    </row>
    <row r="568" spans="3:5" ht="13.2" x14ac:dyDescent="0.25">
      <c r="C568" s="160"/>
      <c r="D568" s="160"/>
      <c r="E568" s="160"/>
    </row>
    <row r="569" spans="3:5" ht="13.2" x14ac:dyDescent="0.25">
      <c r="C569" s="160"/>
      <c r="D569" s="160"/>
      <c r="E569" s="160"/>
    </row>
    <row r="570" spans="3:5" ht="13.2" x14ac:dyDescent="0.25">
      <c r="C570" s="160"/>
      <c r="D570" s="160"/>
      <c r="E570" s="160"/>
    </row>
    <row r="571" spans="3:5" ht="13.2" x14ac:dyDescent="0.25">
      <c r="C571" s="160"/>
      <c r="D571" s="160"/>
      <c r="E571" s="160"/>
    </row>
    <row r="572" spans="3:5" ht="13.2" x14ac:dyDescent="0.25">
      <c r="C572" s="160"/>
      <c r="D572" s="160"/>
      <c r="E572" s="160"/>
    </row>
    <row r="573" spans="3:5" ht="13.2" x14ac:dyDescent="0.25">
      <c r="C573" s="160"/>
      <c r="D573" s="160"/>
      <c r="E573" s="160"/>
    </row>
    <row r="574" spans="3:5" ht="13.2" x14ac:dyDescent="0.25">
      <c r="C574" s="160"/>
      <c r="D574" s="160"/>
      <c r="E574" s="160"/>
    </row>
    <row r="575" spans="3:5" ht="13.2" x14ac:dyDescent="0.25">
      <c r="C575" s="160"/>
      <c r="D575" s="160"/>
      <c r="E575" s="160"/>
    </row>
    <row r="576" spans="3:5" ht="13.2" x14ac:dyDescent="0.25">
      <c r="C576" s="160"/>
      <c r="D576" s="160"/>
      <c r="E576" s="160"/>
    </row>
    <row r="577" spans="3:5" ht="13.2" x14ac:dyDescent="0.25">
      <c r="C577" s="160"/>
      <c r="D577" s="160"/>
      <c r="E577" s="160"/>
    </row>
    <row r="578" spans="3:5" ht="13.2" x14ac:dyDescent="0.25">
      <c r="C578" s="160"/>
      <c r="D578" s="160"/>
      <c r="E578" s="160"/>
    </row>
    <row r="579" spans="3:5" ht="13.2" x14ac:dyDescent="0.25">
      <c r="C579" s="160"/>
      <c r="D579" s="160"/>
      <c r="E579" s="160"/>
    </row>
    <row r="580" spans="3:5" ht="13.2" x14ac:dyDescent="0.25">
      <c r="C580" s="160"/>
      <c r="D580" s="160"/>
      <c r="E580" s="160"/>
    </row>
    <row r="581" spans="3:5" ht="13.2" x14ac:dyDescent="0.25">
      <c r="C581" s="160"/>
      <c r="D581" s="160"/>
      <c r="E581" s="160"/>
    </row>
    <row r="582" spans="3:5" ht="13.2" x14ac:dyDescent="0.25">
      <c r="C582" s="160"/>
      <c r="D582" s="160"/>
      <c r="E582" s="160"/>
    </row>
    <row r="583" spans="3:5" ht="13.2" x14ac:dyDescent="0.25">
      <c r="C583" s="160"/>
      <c r="D583" s="160"/>
      <c r="E583" s="160"/>
    </row>
    <row r="584" spans="3:5" ht="13.2" x14ac:dyDescent="0.25">
      <c r="C584" s="160"/>
      <c r="D584" s="160"/>
      <c r="E584" s="160"/>
    </row>
    <row r="585" spans="3:5" ht="13.2" x14ac:dyDescent="0.25">
      <c r="C585" s="160"/>
      <c r="D585" s="160"/>
      <c r="E585" s="160"/>
    </row>
    <row r="586" spans="3:5" ht="13.2" x14ac:dyDescent="0.25">
      <c r="C586" s="160"/>
      <c r="D586" s="160"/>
      <c r="E586" s="160"/>
    </row>
    <row r="587" spans="3:5" ht="13.2" x14ac:dyDescent="0.25">
      <c r="C587" s="160"/>
      <c r="D587" s="160"/>
      <c r="E587" s="160"/>
    </row>
    <row r="588" spans="3:5" ht="13.2" x14ac:dyDescent="0.25">
      <c r="C588" s="160"/>
      <c r="D588" s="160"/>
      <c r="E588" s="160"/>
    </row>
    <row r="589" spans="3:5" ht="13.2" x14ac:dyDescent="0.25">
      <c r="C589" s="160"/>
      <c r="D589" s="160"/>
      <c r="E589" s="160"/>
    </row>
    <row r="590" spans="3:5" ht="13.2" x14ac:dyDescent="0.25">
      <c r="C590" s="160"/>
      <c r="D590" s="160"/>
      <c r="E590" s="160"/>
    </row>
    <row r="591" spans="3:5" ht="13.2" x14ac:dyDescent="0.25">
      <c r="C591" s="160"/>
      <c r="D591" s="160"/>
      <c r="E591" s="160"/>
    </row>
    <row r="592" spans="3:5" ht="13.2" x14ac:dyDescent="0.25">
      <c r="C592" s="160"/>
      <c r="D592" s="160"/>
      <c r="E592" s="160"/>
    </row>
    <row r="593" spans="3:5" ht="13.2" x14ac:dyDescent="0.25">
      <c r="C593" s="160"/>
      <c r="D593" s="160"/>
      <c r="E593" s="160"/>
    </row>
    <row r="594" spans="3:5" ht="13.2" x14ac:dyDescent="0.25">
      <c r="C594" s="160"/>
      <c r="D594" s="160"/>
      <c r="E594" s="160"/>
    </row>
    <row r="595" spans="3:5" ht="13.2" x14ac:dyDescent="0.25">
      <c r="C595" s="160"/>
      <c r="D595" s="160"/>
      <c r="E595" s="160"/>
    </row>
    <row r="596" spans="3:5" ht="13.2" x14ac:dyDescent="0.25">
      <c r="C596" s="160"/>
      <c r="D596" s="160"/>
      <c r="E596" s="160"/>
    </row>
    <row r="597" spans="3:5" ht="13.2" x14ac:dyDescent="0.25">
      <c r="C597" s="160"/>
      <c r="D597" s="160"/>
      <c r="E597" s="160"/>
    </row>
    <row r="598" spans="3:5" ht="13.2" x14ac:dyDescent="0.25">
      <c r="C598" s="160"/>
      <c r="D598" s="160"/>
      <c r="E598" s="160"/>
    </row>
    <row r="599" spans="3:5" ht="13.2" x14ac:dyDescent="0.25">
      <c r="C599" s="160"/>
      <c r="D599" s="160"/>
      <c r="E599" s="160"/>
    </row>
    <row r="600" spans="3:5" ht="13.2" x14ac:dyDescent="0.25">
      <c r="C600" s="160"/>
      <c r="D600" s="160"/>
      <c r="E600" s="160"/>
    </row>
    <row r="601" spans="3:5" ht="13.2" x14ac:dyDescent="0.25">
      <c r="C601" s="160"/>
      <c r="D601" s="160"/>
      <c r="E601" s="160"/>
    </row>
    <row r="602" spans="3:5" ht="13.2" x14ac:dyDescent="0.25">
      <c r="C602" s="160"/>
      <c r="D602" s="160"/>
      <c r="E602" s="160"/>
    </row>
    <row r="603" spans="3:5" ht="13.2" x14ac:dyDescent="0.25">
      <c r="C603" s="160"/>
      <c r="D603" s="160"/>
      <c r="E603" s="160"/>
    </row>
    <row r="604" spans="3:5" ht="13.2" x14ac:dyDescent="0.25">
      <c r="C604" s="160"/>
      <c r="D604" s="160"/>
      <c r="E604" s="160"/>
    </row>
    <row r="605" spans="3:5" ht="13.2" x14ac:dyDescent="0.25">
      <c r="C605" s="160"/>
      <c r="D605" s="160"/>
      <c r="E605" s="160"/>
    </row>
    <row r="606" spans="3:5" ht="13.2" x14ac:dyDescent="0.25">
      <c r="C606" s="160"/>
      <c r="D606" s="160"/>
      <c r="E606" s="160"/>
    </row>
    <row r="607" spans="3:5" ht="13.2" x14ac:dyDescent="0.25">
      <c r="C607" s="160"/>
      <c r="D607" s="160"/>
      <c r="E607" s="160"/>
    </row>
    <row r="608" spans="3:5" ht="13.2" x14ac:dyDescent="0.25">
      <c r="C608" s="160"/>
      <c r="D608" s="160"/>
      <c r="E608" s="160"/>
    </row>
    <row r="609" spans="3:5" ht="13.2" x14ac:dyDescent="0.25">
      <c r="C609" s="160"/>
      <c r="D609" s="160"/>
      <c r="E609" s="160"/>
    </row>
    <row r="610" spans="3:5" ht="13.2" x14ac:dyDescent="0.25">
      <c r="C610" s="160"/>
      <c r="D610" s="160"/>
      <c r="E610" s="160"/>
    </row>
    <row r="611" spans="3:5" ht="13.2" x14ac:dyDescent="0.25">
      <c r="C611" s="160"/>
      <c r="D611" s="160"/>
      <c r="E611" s="160"/>
    </row>
    <row r="612" spans="3:5" ht="13.2" x14ac:dyDescent="0.25">
      <c r="C612" s="160"/>
      <c r="D612" s="160"/>
      <c r="E612" s="160"/>
    </row>
    <row r="613" spans="3:5" ht="13.2" x14ac:dyDescent="0.25">
      <c r="C613" s="160"/>
      <c r="D613" s="160"/>
      <c r="E613" s="160"/>
    </row>
    <row r="614" spans="3:5" ht="13.2" x14ac:dyDescent="0.25">
      <c r="C614" s="160"/>
      <c r="D614" s="160"/>
      <c r="E614" s="160"/>
    </row>
    <row r="615" spans="3:5" ht="13.2" x14ac:dyDescent="0.25">
      <c r="C615" s="160"/>
      <c r="D615" s="160"/>
      <c r="E615" s="160"/>
    </row>
    <row r="616" spans="3:5" ht="13.2" x14ac:dyDescent="0.25">
      <c r="C616" s="160"/>
      <c r="D616" s="160"/>
      <c r="E616" s="160"/>
    </row>
    <row r="617" spans="3:5" ht="13.2" x14ac:dyDescent="0.25">
      <c r="C617" s="160"/>
      <c r="D617" s="160"/>
      <c r="E617" s="160"/>
    </row>
    <row r="618" spans="3:5" ht="13.2" x14ac:dyDescent="0.25">
      <c r="C618" s="160"/>
      <c r="D618" s="160"/>
      <c r="E618" s="160"/>
    </row>
    <row r="619" spans="3:5" ht="13.2" x14ac:dyDescent="0.25">
      <c r="C619" s="160"/>
      <c r="D619" s="160"/>
      <c r="E619" s="160"/>
    </row>
    <row r="620" spans="3:5" ht="13.2" x14ac:dyDescent="0.25">
      <c r="C620" s="160"/>
      <c r="D620" s="160"/>
      <c r="E620" s="160"/>
    </row>
    <row r="621" spans="3:5" ht="13.2" x14ac:dyDescent="0.25">
      <c r="C621" s="160"/>
      <c r="D621" s="160"/>
      <c r="E621" s="160"/>
    </row>
    <row r="622" spans="3:5" ht="13.2" x14ac:dyDescent="0.25">
      <c r="C622" s="160"/>
      <c r="D622" s="160"/>
      <c r="E622" s="160"/>
    </row>
    <row r="623" spans="3:5" ht="13.2" x14ac:dyDescent="0.25">
      <c r="C623" s="160"/>
      <c r="D623" s="160"/>
      <c r="E623" s="160"/>
    </row>
    <row r="624" spans="3:5" ht="13.2" x14ac:dyDescent="0.25">
      <c r="C624" s="160"/>
      <c r="D624" s="160"/>
      <c r="E624" s="160"/>
    </row>
    <row r="625" spans="3:5" ht="13.2" x14ac:dyDescent="0.25">
      <c r="C625" s="160"/>
      <c r="D625" s="160"/>
      <c r="E625" s="160"/>
    </row>
    <row r="626" spans="3:5" ht="13.2" x14ac:dyDescent="0.25">
      <c r="C626" s="160"/>
      <c r="D626" s="160"/>
      <c r="E626" s="160"/>
    </row>
    <row r="627" spans="3:5" ht="13.2" x14ac:dyDescent="0.25">
      <c r="C627" s="160"/>
      <c r="D627" s="160"/>
      <c r="E627" s="160"/>
    </row>
    <row r="628" spans="3:5" ht="13.2" x14ac:dyDescent="0.25">
      <c r="C628" s="160"/>
      <c r="D628" s="160"/>
      <c r="E628" s="160"/>
    </row>
    <row r="629" spans="3:5" ht="13.2" x14ac:dyDescent="0.25">
      <c r="C629" s="160"/>
      <c r="D629" s="160"/>
      <c r="E629" s="160"/>
    </row>
    <row r="630" spans="3:5" ht="13.2" x14ac:dyDescent="0.25">
      <c r="C630" s="160"/>
      <c r="D630" s="160"/>
      <c r="E630" s="160"/>
    </row>
    <row r="631" spans="3:5" ht="13.2" x14ac:dyDescent="0.25">
      <c r="C631" s="160"/>
      <c r="D631" s="160"/>
      <c r="E631" s="160"/>
    </row>
    <row r="632" spans="3:5" ht="13.2" x14ac:dyDescent="0.25">
      <c r="C632" s="160"/>
      <c r="D632" s="160"/>
      <c r="E632" s="160"/>
    </row>
    <row r="633" spans="3:5" ht="13.2" x14ac:dyDescent="0.25">
      <c r="C633" s="160"/>
      <c r="D633" s="160"/>
      <c r="E633" s="160"/>
    </row>
    <row r="634" spans="3:5" ht="13.2" x14ac:dyDescent="0.25">
      <c r="C634" s="160"/>
      <c r="D634" s="160"/>
      <c r="E634" s="160"/>
    </row>
    <row r="635" spans="3:5" ht="13.2" x14ac:dyDescent="0.25">
      <c r="C635" s="160"/>
      <c r="D635" s="160"/>
      <c r="E635" s="160"/>
    </row>
    <row r="636" spans="3:5" ht="13.2" x14ac:dyDescent="0.25">
      <c r="C636" s="160"/>
      <c r="D636" s="160"/>
      <c r="E636" s="160"/>
    </row>
    <row r="637" spans="3:5" ht="13.2" x14ac:dyDescent="0.25">
      <c r="C637" s="160"/>
      <c r="D637" s="160"/>
      <c r="E637" s="160"/>
    </row>
    <row r="638" spans="3:5" ht="13.2" x14ac:dyDescent="0.25">
      <c r="C638" s="160"/>
      <c r="D638" s="160"/>
      <c r="E638" s="160"/>
    </row>
    <row r="639" spans="3:5" ht="13.2" x14ac:dyDescent="0.25">
      <c r="C639" s="160"/>
      <c r="D639" s="160"/>
      <c r="E639" s="160"/>
    </row>
    <row r="640" spans="3:5" ht="13.2" x14ac:dyDescent="0.25">
      <c r="C640" s="160"/>
      <c r="D640" s="160"/>
      <c r="E640" s="160"/>
    </row>
    <row r="641" spans="3:5" ht="13.2" x14ac:dyDescent="0.25">
      <c r="C641" s="160"/>
      <c r="D641" s="160"/>
      <c r="E641" s="160"/>
    </row>
    <row r="642" spans="3:5" ht="13.2" x14ac:dyDescent="0.25">
      <c r="C642" s="160"/>
      <c r="D642" s="160"/>
      <c r="E642" s="160"/>
    </row>
    <row r="643" spans="3:5" ht="13.2" x14ac:dyDescent="0.25">
      <c r="C643" s="160"/>
      <c r="D643" s="160"/>
      <c r="E643" s="160"/>
    </row>
    <row r="644" spans="3:5" ht="13.2" x14ac:dyDescent="0.25">
      <c r="C644" s="160"/>
      <c r="D644" s="160"/>
      <c r="E644" s="160"/>
    </row>
    <row r="645" spans="3:5" ht="13.2" x14ac:dyDescent="0.25">
      <c r="C645" s="160"/>
      <c r="D645" s="160"/>
      <c r="E645" s="160"/>
    </row>
    <row r="646" spans="3:5" ht="13.2" x14ac:dyDescent="0.25">
      <c r="C646" s="160"/>
      <c r="D646" s="160"/>
      <c r="E646" s="160"/>
    </row>
    <row r="647" spans="3:5" ht="13.2" x14ac:dyDescent="0.25">
      <c r="C647" s="160"/>
      <c r="D647" s="160"/>
      <c r="E647" s="160"/>
    </row>
    <row r="648" spans="3:5" ht="13.2" x14ac:dyDescent="0.25">
      <c r="C648" s="160"/>
      <c r="D648" s="160"/>
      <c r="E648" s="160"/>
    </row>
    <row r="649" spans="3:5" ht="13.2" x14ac:dyDescent="0.25">
      <c r="C649" s="160"/>
      <c r="D649" s="160"/>
      <c r="E649" s="160"/>
    </row>
    <row r="650" spans="3:5" ht="13.2" x14ac:dyDescent="0.25">
      <c r="C650" s="160"/>
      <c r="D650" s="160"/>
      <c r="E650" s="160"/>
    </row>
    <row r="651" spans="3:5" ht="13.2" x14ac:dyDescent="0.25">
      <c r="C651" s="160"/>
      <c r="D651" s="160"/>
      <c r="E651" s="160"/>
    </row>
    <row r="652" spans="3:5" ht="13.2" x14ac:dyDescent="0.25">
      <c r="C652" s="160"/>
      <c r="D652" s="160"/>
      <c r="E652" s="160"/>
    </row>
    <row r="653" spans="3:5" ht="13.2" x14ac:dyDescent="0.25">
      <c r="C653" s="160"/>
      <c r="D653" s="160"/>
      <c r="E653" s="160"/>
    </row>
    <row r="654" spans="3:5" ht="13.2" x14ac:dyDescent="0.25">
      <c r="C654" s="160"/>
      <c r="D654" s="160"/>
      <c r="E654" s="160"/>
    </row>
    <row r="655" spans="3:5" ht="13.2" x14ac:dyDescent="0.25">
      <c r="C655" s="160"/>
      <c r="D655" s="160"/>
      <c r="E655" s="160"/>
    </row>
    <row r="656" spans="3:5" ht="13.2" x14ac:dyDescent="0.25">
      <c r="C656" s="160"/>
      <c r="D656" s="160"/>
      <c r="E656" s="160"/>
    </row>
    <row r="657" spans="3:5" ht="13.2" x14ac:dyDescent="0.25">
      <c r="C657" s="160"/>
      <c r="D657" s="160"/>
      <c r="E657" s="160"/>
    </row>
    <row r="658" spans="3:5" ht="13.2" x14ac:dyDescent="0.25">
      <c r="C658" s="160"/>
      <c r="D658" s="160"/>
      <c r="E658" s="160"/>
    </row>
    <row r="659" spans="3:5" ht="13.2" x14ac:dyDescent="0.25">
      <c r="C659" s="160"/>
      <c r="D659" s="160"/>
      <c r="E659" s="160"/>
    </row>
    <row r="660" spans="3:5" ht="13.2" x14ac:dyDescent="0.25">
      <c r="C660" s="160"/>
      <c r="D660" s="160"/>
      <c r="E660" s="160"/>
    </row>
    <row r="661" spans="3:5" ht="13.2" x14ac:dyDescent="0.25">
      <c r="C661" s="160"/>
      <c r="D661" s="160"/>
      <c r="E661" s="160"/>
    </row>
    <row r="662" spans="3:5" ht="13.2" x14ac:dyDescent="0.25">
      <c r="C662" s="160"/>
      <c r="D662" s="160"/>
      <c r="E662" s="160"/>
    </row>
    <row r="663" spans="3:5" ht="13.2" x14ac:dyDescent="0.25">
      <c r="C663" s="160"/>
      <c r="D663" s="160"/>
      <c r="E663" s="160"/>
    </row>
    <row r="664" spans="3:5" ht="13.2" x14ac:dyDescent="0.25">
      <c r="C664" s="160"/>
      <c r="D664" s="160"/>
      <c r="E664" s="160"/>
    </row>
    <row r="665" spans="3:5" ht="13.2" x14ac:dyDescent="0.25">
      <c r="C665" s="160"/>
      <c r="D665" s="160"/>
      <c r="E665" s="160"/>
    </row>
    <row r="666" spans="3:5" ht="13.2" x14ac:dyDescent="0.25">
      <c r="C666" s="160"/>
      <c r="D666" s="160"/>
      <c r="E666" s="160"/>
    </row>
    <row r="667" spans="3:5" ht="13.2" x14ac:dyDescent="0.25">
      <c r="C667" s="160"/>
      <c r="D667" s="160"/>
      <c r="E667" s="160"/>
    </row>
    <row r="668" spans="3:5" ht="13.2" x14ac:dyDescent="0.25">
      <c r="C668" s="160"/>
      <c r="D668" s="160"/>
      <c r="E668" s="160"/>
    </row>
    <row r="669" spans="3:5" ht="13.2" x14ac:dyDescent="0.25">
      <c r="C669" s="160"/>
      <c r="D669" s="160"/>
      <c r="E669" s="160"/>
    </row>
    <row r="670" spans="3:5" ht="13.2" x14ac:dyDescent="0.25">
      <c r="C670" s="160"/>
      <c r="D670" s="160"/>
      <c r="E670" s="160"/>
    </row>
    <row r="671" spans="3:5" ht="13.2" x14ac:dyDescent="0.25">
      <c r="C671" s="160"/>
      <c r="D671" s="160"/>
      <c r="E671" s="160"/>
    </row>
    <row r="672" spans="3:5" ht="13.2" x14ac:dyDescent="0.25">
      <c r="C672" s="160"/>
      <c r="D672" s="160"/>
      <c r="E672" s="160"/>
    </row>
    <row r="673" spans="3:5" ht="13.2" x14ac:dyDescent="0.25">
      <c r="C673" s="160"/>
      <c r="D673" s="160"/>
      <c r="E673" s="160"/>
    </row>
    <row r="674" spans="3:5" ht="13.2" x14ac:dyDescent="0.25">
      <c r="C674" s="160"/>
      <c r="D674" s="160"/>
      <c r="E674" s="160"/>
    </row>
    <row r="675" spans="3:5" ht="13.2" x14ac:dyDescent="0.25">
      <c r="C675" s="160"/>
      <c r="D675" s="160"/>
      <c r="E675" s="160"/>
    </row>
    <row r="676" spans="3:5" ht="13.2" x14ac:dyDescent="0.25">
      <c r="C676" s="160"/>
      <c r="D676" s="160"/>
      <c r="E676" s="160"/>
    </row>
    <row r="677" spans="3:5" ht="13.2" x14ac:dyDescent="0.25">
      <c r="C677" s="160"/>
      <c r="D677" s="160"/>
      <c r="E677" s="160"/>
    </row>
    <row r="678" spans="3:5" ht="13.2" x14ac:dyDescent="0.25">
      <c r="C678" s="160"/>
      <c r="D678" s="160"/>
      <c r="E678" s="160"/>
    </row>
    <row r="679" spans="3:5" ht="13.2" x14ac:dyDescent="0.25">
      <c r="C679" s="160"/>
      <c r="D679" s="160"/>
      <c r="E679" s="160"/>
    </row>
    <row r="680" spans="3:5" ht="13.2" x14ac:dyDescent="0.25">
      <c r="C680" s="160"/>
      <c r="D680" s="160"/>
      <c r="E680" s="160"/>
    </row>
    <row r="681" spans="3:5" ht="13.2" x14ac:dyDescent="0.25">
      <c r="C681" s="160"/>
      <c r="D681" s="160"/>
      <c r="E681" s="160"/>
    </row>
    <row r="682" spans="3:5" ht="13.2" x14ac:dyDescent="0.25">
      <c r="C682" s="160"/>
      <c r="D682" s="160"/>
      <c r="E682" s="160"/>
    </row>
    <row r="683" spans="3:5" ht="13.2" x14ac:dyDescent="0.25">
      <c r="C683" s="160"/>
      <c r="D683" s="160"/>
      <c r="E683" s="160"/>
    </row>
    <row r="684" spans="3:5" ht="13.2" x14ac:dyDescent="0.25">
      <c r="C684" s="160"/>
      <c r="D684" s="160"/>
      <c r="E684" s="160"/>
    </row>
    <row r="685" spans="3:5" ht="13.2" x14ac:dyDescent="0.25">
      <c r="C685" s="160"/>
      <c r="D685" s="160"/>
      <c r="E685" s="160"/>
    </row>
    <row r="686" spans="3:5" ht="13.2" x14ac:dyDescent="0.25">
      <c r="C686" s="160"/>
      <c r="D686" s="160"/>
      <c r="E686" s="160"/>
    </row>
    <row r="687" spans="3:5" ht="13.2" x14ac:dyDescent="0.25">
      <c r="C687" s="160"/>
      <c r="D687" s="160"/>
      <c r="E687" s="160"/>
    </row>
    <row r="688" spans="3:5" ht="13.2" x14ac:dyDescent="0.25">
      <c r="C688" s="160"/>
      <c r="D688" s="160"/>
      <c r="E688" s="160"/>
    </row>
    <row r="689" spans="3:5" ht="13.2" x14ac:dyDescent="0.25">
      <c r="C689" s="160"/>
      <c r="D689" s="160"/>
      <c r="E689" s="160"/>
    </row>
    <row r="690" spans="3:5" ht="13.2" x14ac:dyDescent="0.25">
      <c r="C690" s="160"/>
      <c r="D690" s="160"/>
      <c r="E690" s="160"/>
    </row>
    <row r="691" spans="3:5" ht="13.2" x14ac:dyDescent="0.25">
      <c r="C691" s="160"/>
      <c r="D691" s="160"/>
      <c r="E691" s="160"/>
    </row>
    <row r="692" spans="3:5" ht="13.2" x14ac:dyDescent="0.25">
      <c r="C692" s="160"/>
      <c r="D692" s="160"/>
      <c r="E692" s="160"/>
    </row>
    <row r="693" spans="3:5" ht="13.2" x14ac:dyDescent="0.25">
      <c r="C693" s="160"/>
      <c r="D693" s="160"/>
      <c r="E693" s="160"/>
    </row>
    <row r="694" spans="3:5" ht="13.2" x14ac:dyDescent="0.25">
      <c r="C694" s="160"/>
      <c r="D694" s="160"/>
      <c r="E694" s="160"/>
    </row>
    <row r="695" spans="3:5" ht="13.2" x14ac:dyDescent="0.25">
      <c r="C695" s="160"/>
      <c r="D695" s="160"/>
      <c r="E695" s="160"/>
    </row>
    <row r="696" spans="3:5" ht="13.2" x14ac:dyDescent="0.25">
      <c r="C696" s="160"/>
      <c r="D696" s="160"/>
      <c r="E696" s="160"/>
    </row>
    <row r="697" spans="3:5" ht="13.2" x14ac:dyDescent="0.25">
      <c r="C697" s="160"/>
      <c r="D697" s="160"/>
      <c r="E697" s="160"/>
    </row>
    <row r="698" spans="3:5" ht="13.2" x14ac:dyDescent="0.25">
      <c r="C698" s="160"/>
      <c r="D698" s="160"/>
      <c r="E698" s="160"/>
    </row>
    <row r="699" spans="3:5" ht="13.2" x14ac:dyDescent="0.25">
      <c r="C699" s="160"/>
      <c r="D699" s="160"/>
      <c r="E699" s="160"/>
    </row>
    <row r="700" spans="3:5" ht="13.2" x14ac:dyDescent="0.25">
      <c r="C700" s="160"/>
      <c r="D700" s="160"/>
      <c r="E700" s="160"/>
    </row>
    <row r="701" spans="3:5" ht="13.2" x14ac:dyDescent="0.25">
      <c r="C701" s="160"/>
      <c r="D701" s="160"/>
      <c r="E701" s="160"/>
    </row>
    <row r="702" spans="3:5" ht="13.2" x14ac:dyDescent="0.25">
      <c r="C702" s="160"/>
      <c r="D702" s="160"/>
      <c r="E702" s="160"/>
    </row>
    <row r="703" spans="3:5" ht="13.2" x14ac:dyDescent="0.25">
      <c r="C703" s="160"/>
      <c r="D703" s="160"/>
      <c r="E703" s="160"/>
    </row>
    <row r="704" spans="3:5" ht="13.2" x14ac:dyDescent="0.25">
      <c r="C704" s="160"/>
      <c r="D704" s="160"/>
      <c r="E704" s="160"/>
    </row>
    <row r="705" spans="3:5" ht="13.2" x14ac:dyDescent="0.25">
      <c r="C705" s="160"/>
      <c r="D705" s="160"/>
      <c r="E705" s="160"/>
    </row>
    <row r="706" spans="3:5" ht="13.2" x14ac:dyDescent="0.25">
      <c r="C706" s="160"/>
      <c r="D706" s="160"/>
      <c r="E706" s="160"/>
    </row>
    <row r="707" spans="3:5" ht="13.2" x14ac:dyDescent="0.25">
      <c r="C707" s="160"/>
      <c r="D707" s="160"/>
      <c r="E707" s="160"/>
    </row>
    <row r="708" spans="3:5" ht="13.2" x14ac:dyDescent="0.25">
      <c r="C708" s="160"/>
      <c r="D708" s="160"/>
      <c r="E708" s="160"/>
    </row>
    <row r="709" spans="3:5" ht="13.2" x14ac:dyDescent="0.25">
      <c r="C709" s="160"/>
      <c r="D709" s="160"/>
      <c r="E709" s="160"/>
    </row>
    <row r="710" spans="3:5" ht="13.2" x14ac:dyDescent="0.25">
      <c r="C710" s="160"/>
      <c r="D710" s="160"/>
      <c r="E710" s="160"/>
    </row>
    <row r="711" spans="3:5" ht="13.2" x14ac:dyDescent="0.25">
      <c r="C711" s="160"/>
      <c r="D711" s="160"/>
      <c r="E711" s="160"/>
    </row>
    <row r="712" spans="3:5" ht="13.2" x14ac:dyDescent="0.25">
      <c r="C712" s="160"/>
      <c r="D712" s="160"/>
      <c r="E712" s="160"/>
    </row>
    <row r="713" spans="3:5" ht="13.2" x14ac:dyDescent="0.25">
      <c r="C713" s="160"/>
      <c r="D713" s="160"/>
      <c r="E713" s="160"/>
    </row>
    <row r="714" spans="3:5" ht="13.2" x14ac:dyDescent="0.25">
      <c r="C714" s="160"/>
      <c r="D714" s="160"/>
      <c r="E714" s="160"/>
    </row>
    <row r="715" spans="3:5" ht="13.2" x14ac:dyDescent="0.25">
      <c r="C715" s="160"/>
      <c r="D715" s="160"/>
      <c r="E715" s="160"/>
    </row>
    <row r="716" spans="3:5" ht="13.2" x14ac:dyDescent="0.25">
      <c r="C716" s="160"/>
      <c r="D716" s="160"/>
      <c r="E716" s="160"/>
    </row>
    <row r="717" spans="3:5" ht="13.2" x14ac:dyDescent="0.25">
      <c r="C717" s="160"/>
      <c r="D717" s="160"/>
      <c r="E717" s="160"/>
    </row>
    <row r="718" spans="3:5" ht="13.2" x14ac:dyDescent="0.25">
      <c r="C718" s="160"/>
      <c r="D718" s="160"/>
      <c r="E718" s="160"/>
    </row>
    <row r="719" spans="3:5" ht="13.2" x14ac:dyDescent="0.25">
      <c r="C719" s="160"/>
      <c r="D719" s="160"/>
      <c r="E719" s="160"/>
    </row>
    <row r="720" spans="3:5" ht="13.2" x14ac:dyDescent="0.25">
      <c r="C720" s="160"/>
      <c r="D720" s="160"/>
      <c r="E720" s="160"/>
    </row>
    <row r="721" spans="3:5" ht="13.2" x14ac:dyDescent="0.25">
      <c r="C721" s="160"/>
      <c r="D721" s="160"/>
      <c r="E721" s="160"/>
    </row>
    <row r="722" spans="3:5" ht="13.2" x14ac:dyDescent="0.25">
      <c r="C722" s="160"/>
      <c r="D722" s="160"/>
      <c r="E722" s="160"/>
    </row>
    <row r="723" spans="3:5" ht="13.2" x14ac:dyDescent="0.25">
      <c r="C723" s="160"/>
      <c r="D723" s="160"/>
      <c r="E723" s="160"/>
    </row>
    <row r="724" spans="3:5" ht="13.2" x14ac:dyDescent="0.25">
      <c r="C724" s="160"/>
      <c r="D724" s="160"/>
      <c r="E724" s="160"/>
    </row>
    <row r="725" spans="3:5" ht="13.2" x14ac:dyDescent="0.25">
      <c r="C725" s="160"/>
      <c r="D725" s="160"/>
      <c r="E725" s="160"/>
    </row>
    <row r="726" spans="3:5" ht="13.2" x14ac:dyDescent="0.25">
      <c r="C726" s="160"/>
      <c r="D726" s="160"/>
      <c r="E726" s="160"/>
    </row>
    <row r="727" spans="3:5" ht="13.2" x14ac:dyDescent="0.25">
      <c r="C727" s="160"/>
      <c r="D727" s="160"/>
      <c r="E727" s="160"/>
    </row>
    <row r="728" spans="3:5" ht="13.2" x14ac:dyDescent="0.25">
      <c r="C728" s="160"/>
      <c r="D728" s="160"/>
      <c r="E728" s="160"/>
    </row>
    <row r="729" spans="3:5" ht="13.2" x14ac:dyDescent="0.25">
      <c r="C729" s="160"/>
      <c r="D729" s="160"/>
      <c r="E729" s="160"/>
    </row>
    <row r="730" spans="3:5" ht="13.2" x14ac:dyDescent="0.25">
      <c r="C730" s="160"/>
      <c r="D730" s="160"/>
      <c r="E730" s="160"/>
    </row>
    <row r="731" spans="3:5" ht="13.2" x14ac:dyDescent="0.25">
      <c r="C731" s="160"/>
      <c r="D731" s="160"/>
      <c r="E731" s="160"/>
    </row>
    <row r="732" spans="3:5" ht="13.2" x14ac:dyDescent="0.25">
      <c r="C732" s="160"/>
      <c r="D732" s="160"/>
      <c r="E732" s="160"/>
    </row>
    <row r="733" spans="3:5" ht="13.2" x14ac:dyDescent="0.25">
      <c r="C733" s="160"/>
      <c r="D733" s="160"/>
      <c r="E733" s="160"/>
    </row>
    <row r="734" spans="3:5" ht="13.2" x14ac:dyDescent="0.25">
      <c r="C734" s="160"/>
      <c r="D734" s="160"/>
      <c r="E734" s="160"/>
    </row>
    <row r="735" spans="3:5" ht="13.2" x14ac:dyDescent="0.25">
      <c r="C735" s="160"/>
      <c r="D735" s="160"/>
      <c r="E735" s="160"/>
    </row>
    <row r="736" spans="3:5" ht="13.2" x14ac:dyDescent="0.25">
      <c r="C736" s="160"/>
      <c r="D736" s="160"/>
      <c r="E736" s="160"/>
    </row>
    <row r="737" spans="3:5" ht="13.2" x14ac:dyDescent="0.25">
      <c r="C737" s="160"/>
      <c r="D737" s="160"/>
      <c r="E737" s="160"/>
    </row>
    <row r="738" spans="3:5" ht="13.2" x14ac:dyDescent="0.25">
      <c r="C738" s="160"/>
      <c r="D738" s="160"/>
      <c r="E738" s="160"/>
    </row>
    <row r="739" spans="3:5" ht="13.2" x14ac:dyDescent="0.25">
      <c r="C739" s="160"/>
      <c r="D739" s="160"/>
      <c r="E739" s="160"/>
    </row>
    <row r="740" spans="3:5" ht="13.2" x14ac:dyDescent="0.25">
      <c r="C740" s="160"/>
      <c r="D740" s="160"/>
      <c r="E740" s="160"/>
    </row>
    <row r="741" spans="3:5" ht="13.2" x14ac:dyDescent="0.25">
      <c r="C741" s="160"/>
      <c r="D741" s="160"/>
      <c r="E741" s="160"/>
    </row>
    <row r="742" spans="3:5" ht="13.2" x14ac:dyDescent="0.25">
      <c r="C742" s="160"/>
      <c r="D742" s="160"/>
      <c r="E742" s="160"/>
    </row>
    <row r="743" spans="3:5" ht="13.2" x14ac:dyDescent="0.25">
      <c r="C743" s="160"/>
      <c r="D743" s="160"/>
      <c r="E743" s="160"/>
    </row>
    <row r="744" spans="3:5" ht="13.2" x14ac:dyDescent="0.25">
      <c r="C744" s="160"/>
      <c r="D744" s="160"/>
      <c r="E744" s="160"/>
    </row>
    <row r="745" spans="3:5" ht="13.2" x14ac:dyDescent="0.25">
      <c r="C745" s="160"/>
      <c r="D745" s="160"/>
      <c r="E745" s="160"/>
    </row>
    <row r="746" spans="3:5" ht="13.2" x14ac:dyDescent="0.25">
      <c r="C746" s="160"/>
      <c r="D746" s="160"/>
      <c r="E746" s="160"/>
    </row>
    <row r="747" spans="3:5" ht="13.2" x14ac:dyDescent="0.25">
      <c r="C747" s="160"/>
      <c r="D747" s="160"/>
      <c r="E747" s="160"/>
    </row>
    <row r="748" spans="3:5" ht="13.2" x14ac:dyDescent="0.25">
      <c r="C748" s="160"/>
      <c r="D748" s="160"/>
      <c r="E748" s="160"/>
    </row>
    <row r="749" spans="3:5" ht="13.2" x14ac:dyDescent="0.25">
      <c r="C749" s="160"/>
      <c r="D749" s="160"/>
      <c r="E749" s="160"/>
    </row>
    <row r="750" spans="3:5" ht="13.2" x14ac:dyDescent="0.25">
      <c r="C750" s="160"/>
      <c r="D750" s="160"/>
      <c r="E750" s="160"/>
    </row>
    <row r="751" spans="3:5" ht="13.2" x14ac:dyDescent="0.25">
      <c r="C751" s="160"/>
      <c r="D751" s="160"/>
      <c r="E751" s="160"/>
    </row>
    <row r="752" spans="3:5" ht="13.2" x14ac:dyDescent="0.25">
      <c r="C752" s="160"/>
      <c r="D752" s="160"/>
      <c r="E752" s="160"/>
    </row>
    <row r="753" spans="3:5" ht="13.2" x14ac:dyDescent="0.25">
      <c r="C753" s="160"/>
      <c r="D753" s="160"/>
      <c r="E753" s="160"/>
    </row>
    <row r="754" spans="3:5" ht="13.2" x14ac:dyDescent="0.25">
      <c r="C754" s="160"/>
      <c r="D754" s="160"/>
      <c r="E754" s="160"/>
    </row>
    <row r="755" spans="3:5" ht="13.2" x14ac:dyDescent="0.25">
      <c r="C755" s="160"/>
      <c r="D755" s="160"/>
      <c r="E755" s="160"/>
    </row>
    <row r="756" spans="3:5" ht="13.2" x14ac:dyDescent="0.25">
      <c r="C756" s="160"/>
      <c r="D756" s="160"/>
      <c r="E756" s="160"/>
    </row>
    <row r="757" spans="3:5" ht="13.2" x14ac:dyDescent="0.25">
      <c r="C757" s="160"/>
      <c r="D757" s="160"/>
      <c r="E757" s="160"/>
    </row>
    <row r="758" spans="3:5" ht="13.2" x14ac:dyDescent="0.25">
      <c r="C758" s="160"/>
      <c r="D758" s="160"/>
      <c r="E758" s="160"/>
    </row>
    <row r="759" spans="3:5" ht="13.2" x14ac:dyDescent="0.25">
      <c r="C759" s="160"/>
      <c r="D759" s="160"/>
      <c r="E759" s="160"/>
    </row>
    <row r="760" spans="3:5" ht="13.2" x14ac:dyDescent="0.25">
      <c r="C760" s="160"/>
      <c r="D760" s="160"/>
      <c r="E760" s="160"/>
    </row>
    <row r="761" spans="3:5" ht="13.2" x14ac:dyDescent="0.25">
      <c r="C761" s="160"/>
      <c r="D761" s="160"/>
      <c r="E761" s="160"/>
    </row>
    <row r="762" spans="3:5" ht="13.2" x14ac:dyDescent="0.25">
      <c r="C762" s="160"/>
      <c r="D762" s="160"/>
      <c r="E762" s="160"/>
    </row>
    <row r="763" spans="3:5" ht="13.2" x14ac:dyDescent="0.25">
      <c r="C763" s="160"/>
      <c r="D763" s="160"/>
      <c r="E763" s="160"/>
    </row>
    <row r="764" spans="3:5" ht="13.2" x14ac:dyDescent="0.25">
      <c r="C764" s="160"/>
      <c r="D764" s="160"/>
      <c r="E764" s="160"/>
    </row>
    <row r="765" spans="3:5" ht="13.2" x14ac:dyDescent="0.25">
      <c r="C765" s="160"/>
      <c r="D765" s="160"/>
      <c r="E765" s="160"/>
    </row>
    <row r="766" spans="3:5" ht="13.2" x14ac:dyDescent="0.25">
      <c r="C766" s="160"/>
      <c r="D766" s="160"/>
      <c r="E766" s="160"/>
    </row>
    <row r="767" spans="3:5" ht="13.2" x14ac:dyDescent="0.25">
      <c r="C767" s="160"/>
      <c r="D767" s="160"/>
      <c r="E767" s="160"/>
    </row>
    <row r="768" spans="3:5" ht="13.2" x14ac:dyDescent="0.25">
      <c r="C768" s="160"/>
      <c r="D768" s="160"/>
      <c r="E768" s="160"/>
    </row>
    <row r="769" spans="3:5" ht="13.2" x14ac:dyDescent="0.25">
      <c r="C769" s="160"/>
      <c r="D769" s="160"/>
      <c r="E769" s="160"/>
    </row>
    <row r="770" spans="3:5" ht="13.2" x14ac:dyDescent="0.25">
      <c r="C770" s="160"/>
      <c r="D770" s="160"/>
      <c r="E770" s="160"/>
    </row>
    <row r="771" spans="3:5" ht="13.2" x14ac:dyDescent="0.25">
      <c r="C771" s="160"/>
      <c r="D771" s="160"/>
      <c r="E771" s="160"/>
    </row>
    <row r="772" spans="3:5" ht="13.2" x14ac:dyDescent="0.25">
      <c r="C772" s="160"/>
      <c r="D772" s="160"/>
      <c r="E772" s="160"/>
    </row>
    <row r="773" spans="3:5" ht="13.2" x14ac:dyDescent="0.25">
      <c r="C773" s="160"/>
      <c r="D773" s="160"/>
      <c r="E773" s="160"/>
    </row>
    <row r="774" spans="3:5" ht="13.2" x14ac:dyDescent="0.25">
      <c r="C774" s="160"/>
      <c r="D774" s="160"/>
      <c r="E774" s="160"/>
    </row>
    <row r="775" spans="3:5" ht="13.2" x14ac:dyDescent="0.25">
      <c r="C775" s="160"/>
      <c r="D775" s="160"/>
      <c r="E775" s="160"/>
    </row>
    <row r="776" spans="3:5" ht="13.2" x14ac:dyDescent="0.25">
      <c r="C776" s="160"/>
      <c r="D776" s="160"/>
      <c r="E776" s="160"/>
    </row>
    <row r="777" spans="3:5" ht="13.2" x14ac:dyDescent="0.25">
      <c r="C777" s="160"/>
      <c r="D777" s="160"/>
      <c r="E777" s="160"/>
    </row>
    <row r="778" spans="3:5" ht="13.2" x14ac:dyDescent="0.25">
      <c r="C778" s="160"/>
      <c r="D778" s="160"/>
      <c r="E778" s="160"/>
    </row>
    <row r="779" spans="3:5" ht="13.2" x14ac:dyDescent="0.25">
      <c r="C779" s="160"/>
      <c r="D779" s="160"/>
      <c r="E779" s="160"/>
    </row>
    <row r="780" spans="3:5" ht="13.2" x14ac:dyDescent="0.25">
      <c r="C780" s="160"/>
      <c r="D780" s="160"/>
      <c r="E780" s="160"/>
    </row>
    <row r="781" spans="3:5" ht="13.2" x14ac:dyDescent="0.25">
      <c r="C781" s="160"/>
      <c r="D781" s="160"/>
      <c r="E781" s="160"/>
    </row>
    <row r="782" spans="3:5" ht="13.2" x14ac:dyDescent="0.25">
      <c r="C782" s="160"/>
      <c r="D782" s="160"/>
      <c r="E782" s="160"/>
    </row>
    <row r="783" spans="3:5" ht="13.2" x14ac:dyDescent="0.25">
      <c r="C783" s="160"/>
      <c r="D783" s="160"/>
      <c r="E783" s="160"/>
    </row>
    <row r="784" spans="3:5" ht="13.2" x14ac:dyDescent="0.25">
      <c r="C784" s="160"/>
      <c r="D784" s="160"/>
      <c r="E784" s="160"/>
    </row>
    <row r="785" spans="3:5" ht="13.2" x14ac:dyDescent="0.25">
      <c r="C785" s="160"/>
      <c r="D785" s="160"/>
      <c r="E785" s="160"/>
    </row>
    <row r="786" spans="3:5" ht="13.2" x14ac:dyDescent="0.25">
      <c r="C786" s="160"/>
      <c r="D786" s="160"/>
      <c r="E786" s="160"/>
    </row>
    <row r="787" spans="3:5" ht="13.2" x14ac:dyDescent="0.25">
      <c r="C787" s="160"/>
      <c r="D787" s="160"/>
      <c r="E787" s="160"/>
    </row>
    <row r="788" spans="3:5" ht="13.2" x14ac:dyDescent="0.25">
      <c r="C788" s="160"/>
      <c r="D788" s="160"/>
      <c r="E788" s="160"/>
    </row>
    <row r="789" spans="3:5" ht="13.2" x14ac:dyDescent="0.25">
      <c r="C789" s="160"/>
      <c r="D789" s="160"/>
      <c r="E789" s="160"/>
    </row>
    <row r="790" spans="3:5" ht="13.2" x14ac:dyDescent="0.25">
      <c r="C790" s="160"/>
      <c r="D790" s="160"/>
      <c r="E790" s="160"/>
    </row>
    <row r="791" spans="3:5" ht="13.2" x14ac:dyDescent="0.25">
      <c r="C791" s="160"/>
      <c r="D791" s="160"/>
      <c r="E791" s="160"/>
    </row>
    <row r="792" spans="3:5" ht="13.2" x14ac:dyDescent="0.25">
      <c r="C792" s="160"/>
      <c r="D792" s="160"/>
      <c r="E792" s="160"/>
    </row>
    <row r="793" spans="3:5" ht="13.2" x14ac:dyDescent="0.25">
      <c r="C793" s="160"/>
      <c r="D793" s="160"/>
      <c r="E793" s="160"/>
    </row>
    <row r="794" spans="3:5" ht="13.2" x14ac:dyDescent="0.25">
      <c r="C794" s="160"/>
      <c r="D794" s="160"/>
      <c r="E794" s="160"/>
    </row>
    <row r="795" spans="3:5" ht="13.2" x14ac:dyDescent="0.25">
      <c r="C795" s="160"/>
      <c r="D795" s="160"/>
      <c r="E795" s="160"/>
    </row>
    <row r="796" spans="3:5" ht="13.2" x14ac:dyDescent="0.25">
      <c r="C796" s="160"/>
      <c r="D796" s="160"/>
      <c r="E796" s="160"/>
    </row>
    <row r="797" spans="3:5" ht="13.2" x14ac:dyDescent="0.25">
      <c r="C797" s="160"/>
      <c r="D797" s="160"/>
      <c r="E797" s="160"/>
    </row>
    <row r="798" spans="3:5" ht="13.2" x14ac:dyDescent="0.25">
      <c r="C798" s="160"/>
      <c r="D798" s="160"/>
      <c r="E798" s="160"/>
    </row>
    <row r="799" spans="3:5" ht="13.2" x14ac:dyDescent="0.25">
      <c r="C799" s="160"/>
      <c r="D799" s="160"/>
      <c r="E799" s="160"/>
    </row>
    <row r="800" spans="3:5" ht="13.2" x14ac:dyDescent="0.25">
      <c r="C800" s="160"/>
      <c r="D800" s="160"/>
      <c r="E800" s="160"/>
    </row>
    <row r="801" spans="3:5" ht="13.2" x14ac:dyDescent="0.25">
      <c r="C801" s="160"/>
      <c r="D801" s="160"/>
      <c r="E801" s="160"/>
    </row>
    <row r="802" spans="3:5" ht="13.2" x14ac:dyDescent="0.25">
      <c r="C802" s="160"/>
      <c r="D802" s="160"/>
      <c r="E802" s="160"/>
    </row>
    <row r="803" spans="3:5" ht="13.2" x14ac:dyDescent="0.25">
      <c r="C803" s="160"/>
      <c r="D803" s="160"/>
      <c r="E803" s="160"/>
    </row>
    <row r="804" spans="3:5" ht="13.2" x14ac:dyDescent="0.25">
      <c r="C804" s="160"/>
      <c r="D804" s="160"/>
      <c r="E804" s="160"/>
    </row>
    <row r="805" spans="3:5" ht="13.2" x14ac:dyDescent="0.25">
      <c r="C805" s="160"/>
      <c r="D805" s="160"/>
      <c r="E805" s="160"/>
    </row>
    <row r="806" spans="3:5" ht="13.2" x14ac:dyDescent="0.25">
      <c r="C806" s="160"/>
      <c r="D806" s="160"/>
      <c r="E806" s="160"/>
    </row>
    <row r="807" spans="3:5" ht="13.2" x14ac:dyDescent="0.25">
      <c r="C807" s="160"/>
      <c r="D807" s="160"/>
      <c r="E807" s="160"/>
    </row>
    <row r="808" spans="3:5" ht="13.2" x14ac:dyDescent="0.25">
      <c r="C808" s="160"/>
      <c r="D808" s="160"/>
      <c r="E808" s="160"/>
    </row>
    <row r="809" spans="3:5" ht="13.2" x14ac:dyDescent="0.25">
      <c r="C809" s="160"/>
      <c r="D809" s="160"/>
      <c r="E809" s="160"/>
    </row>
    <row r="810" spans="3:5" ht="13.2" x14ac:dyDescent="0.25">
      <c r="C810" s="160"/>
      <c r="D810" s="160"/>
      <c r="E810" s="160"/>
    </row>
    <row r="811" spans="3:5" ht="13.2" x14ac:dyDescent="0.25">
      <c r="C811" s="160"/>
      <c r="D811" s="160"/>
      <c r="E811" s="160"/>
    </row>
    <row r="812" spans="3:5" ht="13.2" x14ac:dyDescent="0.25">
      <c r="C812" s="160"/>
      <c r="D812" s="160"/>
      <c r="E812" s="160"/>
    </row>
    <row r="813" spans="3:5" ht="13.2" x14ac:dyDescent="0.25">
      <c r="C813" s="160"/>
      <c r="D813" s="160"/>
      <c r="E813" s="160"/>
    </row>
    <row r="814" spans="3:5" ht="13.2" x14ac:dyDescent="0.25">
      <c r="C814" s="160"/>
      <c r="D814" s="160"/>
      <c r="E814" s="160"/>
    </row>
    <row r="815" spans="3:5" ht="13.2" x14ac:dyDescent="0.25">
      <c r="C815" s="160"/>
      <c r="D815" s="160"/>
      <c r="E815" s="160"/>
    </row>
    <row r="816" spans="3:5" ht="13.2" x14ac:dyDescent="0.25">
      <c r="C816" s="160"/>
      <c r="D816" s="160"/>
      <c r="E816" s="160"/>
    </row>
    <row r="817" spans="3:5" ht="13.2" x14ac:dyDescent="0.25">
      <c r="C817" s="160"/>
      <c r="D817" s="160"/>
      <c r="E817" s="160"/>
    </row>
    <row r="818" spans="3:5" ht="13.2" x14ac:dyDescent="0.25">
      <c r="C818" s="160"/>
      <c r="D818" s="160"/>
      <c r="E818" s="160"/>
    </row>
    <row r="819" spans="3:5" ht="13.2" x14ac:dyDescent="0.25">
      <c r="C819" s="160"/>
      <c r="D819" s="160"/>
      <c r="E819" s="160"/>
    </row>
    <row r="820" spans="3:5" ht="13.2" x14ac:dyDescent="0.25">
      <c r="C820" s="160"/>
      <c r="D820" s="160"/>
      <c r="E820" s="160"/>
    </row>
    <row r="821" spans="3:5" ht="13.2" x14ac:dyDescent="0.25">
      <c r="C821" s="160"/>
      <c r="D821" s="160"/>
      <c r="E821" s="160"/>
    </row>
    <row r="822" spans="3:5" ht="13.2" x14ac:dyDescent="0.25">
      <c r="C822" s="160"/>
      <c r="D822" s="160"/>
      <c r="E822" s="160"/>
    </row>
    <row r="823" spans="3:5" ht="13.2" x14ac:dyDescent="0.25">
      <c r="C823" s="160"/>
      <c r="D823" s="160"/>
      <c r="E823" s="160"/>
    </row>
    <row r="824" spans="3:5" ht="13.2" x14ac:dyDescent="0.25">
      <c r="C824" s="160"/>
      <c r="D824" s="160"/>
      <c r="E824" s="160"/>
    </row>
    <row r="825" spans="3:5" ht="13.2" x14ac:dyDescent="0.25">
      <c r="C825" s="160"/>
      <c r="D825" s="160"/>
      <c r="E825" s="160"/>
    </row>
    <row r="826" spans="3:5" ht="13.2" x14ac:dyDescent="0.25">
      <c r="C826" s="160"/>
      <c r="D826" s="160"/>
      <c r="E826" s="160"/>
    </row>
    <row r="827" spans="3:5" ht="13.2" x14ac:dyDescent="0.25">
      <c r="C827" s="160"/>
      <c r="D827" s="160"/>
      <c r="E827" s="160"/>
    </row>
    <row r="828" spans="3:5" ht="13.2" x14ac:dyDescent="0.25">
      <c r="C828" s="160"/>
      <c r="D828" s="160"/>
      <c r="E828" s="160"/>
    </row>
    <row r="829" spans="3:5" ht="13.2" x14ac:dyDescent="0.25">
      <c r="C829" s="160"/>
      <c r="D829" s="160"/>
      <c r="E829" s="160"/>
    </row>
    <row r="830" spans="3:5" ht="13.2" x14ac:dyDescent="0.25">
      <c r="C830" s="160"/>
      <c r="D830" s="160"/>
      <c r="E830" s="160"/>
    </row>
    <row r="831" spans="3:5" ht="13.2" x14ac:dyDescent="0.25">
      <c r="C831" s="160"/>
      <c r="D831" s="160"/>
      <c r="E831" s="160"/>
    </row>
    <row r="832" spans="3:5" ht="13.2" x14ac:dyDescent="0.25">
      <c r="C832" s="160"/>
      <c r="D832" s="160"/>
      <c r="E832" s="160"/>
    </row>
    <row r="833" spans="3:5" ht="13.2" x14ac:dyDescent="0.25">
      <c r="C833" s="160"/>
      <c r="D833" s="160"/>
      <c r="E833" s="160"/>
    </row>
    <row r="834" spans="3:5" ht="13.2" x14ac:dyDescent="0.25">
      <c r="C834" s="160"/>
      <c r="D834" s="160"/>
      <c r="E834" s="160"/>
    </row>
    <row r="835" spans="3:5" ht="13.2" x14ac:dyDescent="0.25">
      <c r="C835" s="160"/>
      <c r="D835" s="160"/>
      <c r="E835" s="160"/>
    </row>
    <row r="836" spans="3:5" ht="13.2" x14ac:dyDescent="0.25">
      <c r="C836" s="160"/>
      <c r="D836" s="160"/>
      <c r="E836" s="160"/>
    </row>
    <row r="837" spans="3:5" ht="13.2" x14ac:dyDescent="0.25">
      <c r="C837" s="160"/>
      <c r="D837" s="160"/>
      <c r="E837" s="160"/>
    </row>
    <row r="838" spans="3:5" ht="13.2" x14ac:dyDescent="0.25">
      <c r="C838" s="160"/>
      <c r="D838" s="160"/>
      <c r="E838" s="160"/>
    </row>
    <row r="839" spans="3:5" ht="13.2" x14ac:dyDescent="0.25">
      <c r="C839" s="160"/>
      <c r="D839" s="160"/>
      <c r="E839" s="160"/>
    </row>
    <row r="840" spans="3:5" ht="13.2" x14ac:dyDescent="0.25">
      <c r="C840" s="160"/>
      <c r="D840" s="160"/>
      <c r="E840" s="160"/>
    </row>
    <row r="841" spans="3:5" ht="13.2" x14ac:dyDescent="0.25">
      <c r="C841" s="160"/>
      <c r="D841" s="160"/>
      <c r="E841" s="160"/>
    </row>
    <row r="842" spans="3:5" ht="13.2" x14ac:dyDescent="0.25">
      <c r="C842" s="160"/>
      <c r="D842" s="160"/>
      <c r="E842" s="160"/>
    </row>
    <row r="843" spans="3:5" ht="13.2" x14ac:dyDescent="0.25">
      <c r="C843" s="160"/>
      <c r="D843" s="160"/>
      <c r="E843" s="160"/>
    </row>
    <row r="844" spans="3:5" ht="13.2" x14ac:dyDescent="0.25">
      <c r="C844" s="160"/>
      <c r="D844" s="160"/>
      <c r="E844" s="160"/>
    </row>
    <row r="845" spans="3:5" ht="13.2" x14ac:dyDescent="0.25">
      <c r="C845" s="160"/>
      <c r="D845" s="160"/>
      <c r="E845" s="160"/>
    </row>
    <row r="846" spans="3:5" ht="13.2" x14ac:dyDescent="0.25">
      <c r="C846" s="160"/>
      <c r="D846" s="160"/>
      <c r="E846" s="160"/>
    </row>
    <row r="847" spans="3:5" ht="13.2" x14ac:dyDescent="0.25">
      <c r="C847" s="160"/>
      <c r="D847" s="160"/>
      <c r="E847" s="160"/>
    </row>
    <row r="848" spans="3:5" ht="13.2" x14ac:dyDescent="0.25">
      <c r="C848" s="160"/>
      <c r="D848" s="160"/>
      <c r="E848" s="160"/>
    </row>
    <row r="849" spans="3:5" ht="13.2" x14ac:dyDescent="0.25">
      <c r="C849" s="160"/>
      <c r="D849" s="160"/>
      <c r="E849" s="160"/>
    </row>
    <row r="850" spans="3:5" ht="13.2" x14ac:dyDescent="0.25">
      <c r="C850" s="160"/>
      <c r="D850" s="160"/>
      <c r="E850" s="160"/>
    </row>
    <row r="851" spans="3:5" ht="13.2" x14ac:dyDescent="0.25">
      <c r="C851" s="160"/>
      <c r="D851" s="160"/>
      <c r="E851" s="160"/>
    </row>
    <row r="852" spans="3:5" ht="13.2" x14ac:dyDescent="0.25">
      <c r="C852" s="160"/>
      <c r="D852" s="160"/>
      <c r="E852" s="160"/>
    </row>
    <row r="853" spans="3:5" ht="13.2" x14ac:dyDescent="0.25">
      <c r="C853" s="160"/>
      <c r="D853" s="160"/>
      <c r="E853" s="160"/>
    </row>
    <row r="854" spans="3:5" ht="13.2" x14ac:dyDescent="0.25">
      <c r="C854" s="160"/>
      <c r="D854" s="160"/>
      <c r="E854" s="160"/>
    </row>
    <row r="855" spans="3:5" ht="13.2" x14ac:dyDescent="0.25">
      <c r="C855" s="160"/>
      <c r="D855" s="160"/>
      <c r="E855" s="160"/>
    </row>
    <row r="856" spans="3:5" ht="13.2" x14ac:dyDescent="0.25">
      <c r="C856" s="160"/>
      <c r="D856" s="160"/>
      <c r="E856" s="160"/>
    </row>
    <row r="857" spans="3:5" ht="13.2" x14ac:dyDescent="0.25">
      <c r="C857" s="160"/>
      <c r="D857" s="160"/>
      <c r="E857" s="160"/>
    </row>
    <row r="858" spans="3:5" ht="13.2" x14ac:dyDescent="0.25">
      <c r="C858" s="160"/>
      <c r="D858" s="160"/>
      <c r="E858" s="160"/>
    </row>
    <row r="859" spans="3:5" ht="13.2" x14ac:dyDescent="0.25">
      <c r="C859" s="160"/>
      <c r="D859" s="160"/>
      <c r="E859" s="160"/>
    </row>
    <row r="860" spans="3:5" ht="13.2" x14ac:dyDescent="0.25">
      <c r="C860" s="160"/>
      <c r="D860" s="160"/>
      <c r="E860" s="160"/>
    </row>
    <row r="861" spans="3:5" ht="13.2" x14ac:dyDescent="0.25">
      <c r="C861" s="160"/>
      <c r="D861" s="160"/>
      <c r="E861" s="160"/>
    </row>
    <row r="862" spans="3:5" ht="13.2" x14ac:dyDescent="0.25">
      <c r="C862" s="160"/>
      <c r="D862" s="160"/>
      <c r="E862" s="160"/>
    </row>
    <row r="863" spans="3:5" ht="13.2" x14ac:dyDescent="0.25">
      <c r="C863" s="160"/>
      <c r="D863" s="160"/>
      <c r="E863" s="160"/>
    </row>
    <row r="864" spans="3:5" ht="13.2" x14ac:dyDescent="0.25">
      <c r="C864" s="160"/>
      <c r="D864" s="160"/>
      <c r="E864" s="160"/>
    </row>
    <row r="865" spans="3:5" ht="13.2" x14ac:dyDescent="0.25">
      <c r="C865" s="160"/>
      <c r="D865" s="160"/>
      <c r="E865" s="160"/>
    </row>
    <row r="866" spans="3:5" ht="13.2" x14ac:dyDescent="0.25">
      <c r="C866" s="160"/>
      <c r="D866" s="160"/>
      <c r="E866" s="160"/>
    </row>
    <row r="867" spans="3:5" ht="13.2" x14ac:dyDescent="0.25">
      <c r="C867" s="160"/>
      <c r="D867" s="160"/>
      <c r="E867" s="160"/>
    </row>
    <row r="868" spans="3:5" ht="13.2" x14ac:dyDescent="0.25">
      <c r="C868" s="160"/>
      <c r="D868" s="160"/>
      <c r="E868" s="160"/>
    </row>
    <row r="869" spans="3:5" ht="13.2" x14ac:dyDescent="0.25">
      <c r="C869" s="160"/>
      <c r="D869" s="160"/>
      <c r="E869" s="160"/>
    </row>
    <row r="870" spans="3:5" ht="13.2" x14ac:dyDescent="0.25">
      <c r="C870" s="160"/>
      <c r="D870" s="160"/>
      <c r="E870" s="160"/>
    </row>
    <row r="871" spans="3:5" ht="13.2" x14ac:dyDescent="0.25">
      <c r="C871" s="160"/>
      <c r="D871" s="160"/>
      <c r="E871" s="160"/>
    </row>
    <row r="872" spans="3:5" ht="13.2" x14ac:dyDescent="0.25">
      <c r="C872" s="160"/>
      <c r="D872" s="160"/>
      <c r="E872" s="160"/>
    </row>
    <row r="873" spans="3:5" ht="13.2" x14ac:dyDescent="0.25">
      <c r="C873" s="160"/>
      <c r="D873" s="160"/>
      <c r="E873" s="160"/>
    </row>
    <row r="874" spans="3:5" ht="13.2" x14ac:dyDescent="0.25">
      <c r="C874" s="160"/>
      <c r="D874" s="160"/>
      <c r="E874" s="160"/>
    </row>
    <row r="875" spans="3:5" ht="13.2" x14ac:dyDescent="0.25">
      <c r="C875" s="160"/>
      <c r="D875" s="160"/>
      <c r="E875" s="160"/>
    </row>
    <row r="876" spans="3:5" ht="13.2" x14ac:dyDescent="0.25">
      <c r="C876" s="160"/>
      <c r="D876" s="160"/>
      <c r="E876" s="160"/>
    </row>
    <row r="877" spans="3:5" ht="13.2" x14ac:dyDescent="0.25">
      <c r="C877" s="160"/>
      <c r="D877" s="160"/>
      <c r="E877" s="160"/>
    </row>
    <row r="878" spans="3:5" ht="13.2" x14ac:dyDescent="0.25">
      <c r="C878" s="160"/>
      <c r="D878" s="160"/>
      <c r="E878" s="160"/>
    </row>
    <row r="879" spans="3:5" ht="13.2" x14ac:dyDescent="0.25">
      <c r="C879" s="160"/>
      <c r="D879" s="160"/>
      <c r="E879" s="160"/>
    </row>
    <row r="880" spans="3:5" ht="13.2" x14ac:dyDescent="0.25">
      <c r="C880" s="160"/>
      <c r="D880" s="160"/>
      <c r="E880" s="160"/>
    </row>
    <row r="881" spans="3:5" ht="13.2" x14ac:dyDescent="0.25">
      <c r="C881" s="160"/>
      <c r="D881" s="160"/>
      <c r="E881" s="160"/>
    </row>
    <row r="882" spans="3:5" ht="13.2" x14ac:dyDescent="0.25">
      <c r="C882" s="160"/>
      <c r="D882" s="160"/>
      <c r="E882" s="160"/>
    </row>
    <row r="883" spans="3:5" ht="13.2" x14ac:dyDescent="0.25">
      <c r="C883" s="160"/>
      <c r="D883" s="160"/>
      <c r="E883" s="160"/>
    </row>
    <row r="884" spans="3:5" ht="13.2" x14ac:dyDescent="0.25">
      <c r="C884" s="160"/>
      <c r="D884" s="160"/>
      <c r="E884" s="160"/>
    </row>
    <row r="885" spans="3:5" ht="13.2" x14ac:dyDescent="0.25">
      <c r="C885" s="160"/>
      <c r="D885" s="160"/>
      <c r="E885" s="160"/>
    </row>
    <row r="886" spans="3:5" ht="13.2" x14ac:dyDescent="0.25">
      <c r="C886" s="160"/>
      <c r="D886" s="160"/>
      <c r="E886" s="160"/>
    </row>
    <row r="887" spans="3:5" ht="13.2" x14ac:dyDescent="0.25">
      <c r="C887" s="160"/>
      <c r="D887" s="160"/>
      <c r="E887" s="160"/>
    </row>
    <row r="888" spans="3:5" ht="13.2" x14ac:dyDescent="0.25">
      <c r="C888" s="160"/>
      <c r="D888" s="160"/>
      <c r="E888" s="160"/>
    </row>
    <row r="889" spans="3:5" ht="13.2" x14ac:dyDescent="0.25">
      <c r="C889" s="160"/>
      <c r="D889" s="160"/>
      <c r="E889" s="160"/>
    </row>
    <row r="890" spans="3:5" ht="13.2" x14ac:dyDescent="0.25">
      <c r="C890" s="160"/>
      <c r="D890" s="160"/>
      <c r="E890" s="160"/>
    </row>
    <row r="891" spans="3:5" ht="13.2" x14ac:dyDescent="0.25">
      <c r="C891" s="160"/>
      <c r="D891" s="160"/>
      <c r="E891" s="160"/>
    </row>
    <row r="892" spans="3:5" ht="13.2" x14ac:dyDescent="0.25">
      <c r="C892" s="160"/>
      <c r="D892" s="160"/>
      <c r="E892" s="160"/>
    </row>
    <row r="893" spans="3:5" ht="13.2" x14ac:dyDescent="0.25">
      <c r="C893" s="160"/>
      <c r="D893" s="160"/>
      <c r="E893" s="160"/>
    </row>
    <row r="894" spans="3:5" ht="13.2" x14ac:dyDescent="0.25">
      <c r="C894" s="160"/>
      <c r="D894" s="160"/>
      <c r="E894" s="160"/>
    </row>
    <row r="895" spans="3:5" ht="13.2" x14ac:dyDescent="0.25">
      <c r="C895" s="160"/>
      <c r="D895" s="160"/>
      <c r="E895" s="160"/>
    </row>
    <row r="896" spans="3:5" ht="13.2" x14ac:dyDescent="0.25">
      <c r="C896" s="160"/>
      <c r="D896" s="160"/>
      <c r="E896" s="160"/>
    </row>
    <row r="897" spans="3:5" ht="13.2" x14ac:dyDescent="0.25">
      <c r="C897" s="160"/>
      <c r="D897" s="160"/>
      <c r="E897" s="160"/>
    </row>
    <row r="898" spans="3:5" ht="13.2" x14ac:dyDescent="0.25">
      <c r="C898" s="160"/>
      <c r="D898" s="160"/>
      <c r="E898" s="160"/>
    </row>
    <row r="899" spans="3:5" ht="13.2" x14ac:dyDescent="0.25">
      <c r="C899" s="160"/>
      <c r="D899" s="160"/>
      <c r="E899" s="160"/>
    </row>
    <row r="900" spans="3:5" ht="13.2" x14ac:dyDescent="0.25">
      <c r="C900" s="160"/>
      <c r="D900" s="160"/>
      <c r="E900" s="160"/>
    </row>
    <row r="901" spans="3:5" ht="13.2" x14ac:dyDescent="0.25">
      <c r="C901" s="160"/>
      <c r="D901" s="160"/>
      <c r="E901" s="160"/>
    </row>
    <row r="902" spans="3:5" ht="13.2" x14ac:dyDescent="0.25">
      <c r="C902" s="160"/>
      <c r="D902" s="160"/>
      <c r="E902" s="160"/>
    </row>
    <row r="903" spans="3:5" ht="13.2" x14ac:dyDescent="0.25">
      <c r="C903" s="160"/>
      <c r="D903" s="160"/>
      <c r="E903" s="160"/>
    </row>
    <row r="904" spans="3:5" ht="13.2" x14ac:dyDescent="0.25">
      <c r="C904" s="160"/>
      <c r="D904" s="160"/>
      <c r="E904" s="160"/>
    </row>
    <row r="905" spans="3:5" ht="13.2" x14ac:dyDescent="0.25">
      <c r="C905" s="160"/>
      <c r="D905" s="160"/>
      <c r="E905" s="160"/>
    </row>
    <row r="906" spans="3:5" ht="13.2" x14ac:dyDescent="0.25">
      <c r="C906" s="160"/>
      <c r="D906" s="160"/>
      <c r="E906" s="160"/>
    </row>
    <row r="907" spans="3:5" ht="13.2" x14ac:dyDescent="0.25">
      <c r="C907" s="160"/>
      <c r="D907" s="160"/>
      <c r="E907" s="160"/>
    </row>
    <row r="908" spans="3:5" ht="13.2" x14ac:dyDescent="0.25">
      <c r="C908" s="160"/>
      <c r="D908" s="160"/>
      <c r="E908" s="160"/>
    </row>
    <row r="909" spans="3:5" ht="13.2" x14ac:dyDescent="0.25">
      <c r="C909" s="160"/>
      <c r="D909" s="160"/>
      <c r="E909" s="160"/>
    </row>
    <row r="910" spans="3:5" ht="13.2" x14ac:dyDescent="0.25">
      <c r="C910" s="160"/>
      <c r="D910" s="160"/>
      <c r="E910" s="160"/>
    </row>
    <row r="911" spans="3:5" ht="13.2" x14ac:dyDescent="0.25">
      <c r="C911" s="160"/>
      <c r="D911" s="160"/>
      <c r="E911" s="160"/>
    </row>
    <row r="912" spans="3:5" ht="13.2" x14ac:dyDescent="0.25">
      <c r="C912" s="160"/>
      <c r="D912" s="160"/>
      <c r="E912" s="160"/>
    </row>
    <row r="913" spans="3:5" ht="13.2" x14ac:dyDescent="0.25">
      <c r="C913" s="160"/>
      <c r="D913" s="160"/>
      <c r="E913" s="160"/>
    </row>
    <row r="914" spans="3:5" ht="13.2" x14ac:dyDescent="0.25">
      <c r="C914" s="160"/>
      <c r="D914" s="160"/>
      <c r="E914" s="160"/>
    </row>
    <row r="915" spans="3:5" ht="13.2" x14ac:dyDescent="0.25">
      <c r="C915" s="160"/>
      <c r="D915" s="160"/>
      <c r="E915" s="160"/>
    </row>
    <row r="916" spans="3:5" ht="13.2" x14ac:dyDescent="0.25">
      <c r="C916" s="160"/>
      <c r="D916" s="160"/>
      <c r="E916" s="160"/>
    </row>
    <row r="917" spans="3:5" ht="13.2" x14ac:dyDescent="0.25">
      <c r="C917" s="160"/>
      <c r="D917" s="160"/>
      <c r="E917" s="160"/>
    </row>
    <row r="918" spans="3:5" ht="13.2" x14ac:dyDescent="0.25">
      <c r="C918" s="160"/>
      <c r="D918" s="160"/>
      <c r="E918" s="160"/>
    </row>
    <row r="919" spans="3:5" ht="13.2" x14ac:dyDescent="0.25">
      <c r="C919" s="160"/>
      <c r="D919" s="160"/>
      <c r="E919" s="160"/>
    </row>
    <row r="920" spans="3:5" ht="13.2" x14ac:dyDescent="0.25">
      <c r="C920" s="160"/>
      <c r="D920" s="160"/>
      <c r="E920" s="160"/>
    </row>
    <row r="921" spans="3:5" ht="13.2" x14ac:dyDescent="0.25">
      <c r="C921" s="160"/>
      <c r="D921" s="160"/>
      <c r="E921" s="160"/>
    </row>
    <row r="922" spans="3:5" ht="13.2" x14ac:dyDescent="0.25">
      <c r="C922" s="160"/>
      <c r="D922" s="160"/>
      <c r="E922" s="160"/>
    </row>
    <row r="923" spans="3:5" ht="13.2" x14ac:dyDescent="0.25">
      <c r="C923" s="160"/>
      <c r="D923" s="160"/>
      <c r="E923" s="160"/>
    </row>
    <row r="924" spans="3:5" ht="13.2" x14ac:dyDescent="0.25">
      <c r="C924" s="160"/>
      <c r="D924" s="160"/>
      <c r="E924" s="160"/>
    </row>
    <row r="925" spans="3:5" ht="13.2" x14ac:dyDescent="0.25">
      <c r="C925" s="160"/>
      <c r="D925" s="160"/>
      <c r="E925" s="160"/>
    </row>
    <row r="926" spans="3:5" ht="13.2" x14ac:dyDescent="0.25">
      <c r="C926" s="160"/>
      <c r="D926" s="160"/>
      <c r="E926" s="160"/>
    </row>
    <row r="927" spans="3:5" ht="13.2" x14ac:dyDescent="0.25">
      <c r="C927" s="160"/>
      <c r="D927" s="160"/>
      <c r="E927" s="160"/>
    </row>
    <row r="928" spans="3:5" ht="13.2" x14ac:dyDescent="0.25">
      <c r="C928" s="160"/>
      <c r="D928" s="160"/>
      <c r="E928" s="160"/>
    </row>
    <row r="929" spans="3:5" ht="13.2" x14ac:dyDescent="0.25">
      <c r="C929" s="160"/>
      <c r="D929" s="160"/>
      <c r="E929" s="160"/>
    </row>
    <row r="930" spans="3:5" ht="13.2" x14ac:dyDescent="0.25">
      <c r="C930" s="160"/>
      <c r="D930" s="160"/>
      <c r="E930" s="160"/>
    </row>
    <row r="931" spans="3:5" ht="13.2" x14ac:dyDescent="0.25">
      <c r="C931" s="160"/>
      <c r="D931" s="160"/>
      <c r="E931" s="160"/>
    </row>
    <row r="932" spans="3:5" ht="13.2" x14ac:dyDescent="0.25">
      <c r="C932" s="160"/>
      <c r="D932" s="160"/>
      <c r="E932" s="160"/>
    </row>
    <row r="933" spans="3:5" ht="13.2" x14ac:dyDescent="0.25">
      <c r="C933" s="160"/>
      <c r="D933" s="160"/>
      <c r="E933" s="160"/>
    </row>
    <row r="934" spans="3:5" ht="13.2" x14ac:dyDescent="0.25">
      <c r="C934" s="160"/>
      <c r="D934" s="160"/>
      <c r="E934" s="160"/>
    </row>
    <row r="935" spans="3:5" ht="13.2" x14ac:dyDescent="0.25">
      <c r="C935" s="160"/>
      <c r="D935" s="160"/>
      <c r="E935" s="160"/>
    </row>
    <row r="936" spans="3:5" ht="13.2" x14ac:dyDescent="0.25">
      <c r="C936" s="160"/>
      <c r="D936" s="160"/>
      <c r="E936" s="160"/>
    </row>
    <row r="937" spans="3:5" ht="13.2" x14ac:dyDescent="0.25">
      <c r="C937" s="160"/>
      <c r="D937" s="160"/>
      <c r="E937" s="160"/>
    </row>
    <row r="938" spans="3:5" ht="13.2" x14ac:dyDescent="0.25">
      <c r="C938" s="160"/>
      <c r="D938" s="160"/>
      <c r="E938" s="160"/>
    </row>
    <row r="939" spans="3:5" ht="13.2" x14ac:dyDescent="0.25">
      <c r="C939" s="160"/>
      <c r="D939" s="160"/>
      <c r="E939" s="160"/>
    </row>
    <row r="940" spans="3:5" ht="13.2" x14ac:dyDescent="0.25">
      <c r="C940" s="160"/>
      <c r="D940" s="160"/>
      <c r="E940" s="160"/>
    </row>
    <row r="941" spans="3:5" ht="13.2" x14ac:dyDescent="0.25">
      <c r="C941" s="160"/>
      <c r="D941" s="160"/>
      <c r="E941" s="160"/>
    </row>
    <row r="942" spans="3:5" ht="13.2" x14ac:dyDescent="0.25">
      <c r="C942" s="160"/>
      <c r="D942" s="160"/>
      <c r="E942" s="160"/>
    </row>
    <row r="943" spans="3:5" ht="13.2" x14ac:dyDescent="0.25">
      <c r="C943" s="160"/>
      <c r="D943" s="160"/>
      <c r="E943" s="160"/>
    </row>
    <row r="944" spans="3:5" ht="13.2" x14ac:dyDescent="0.25">
      <c r="C944" s="160"/>
      <c r="D944" s="160"/>
      <c r="E944" s="160"/>
    </row>
    <row r="945" spans="3:5" ht="13.2" x14ac:dyDescent="0.25">
      <c r="C945" s="160"/>
      <c r="D945" s="160"/>
      <c r="E945" s="160"/>
    </row>
    <row r="946" spans="3:5" ht="13.2" x14ac:dyDescent="0.25">
      <c r="C946" s="160"/>
      <c r="D946" s="160"/>
      <c r="E946" s="160"/>
    </row>
    <row r="947" spans="3:5" ht="13.2" x14ac:dyDescent="0.25">
      <c r="C947" s="160"/>
      <c r="D947" s="160"/>
      <c r="E947" s="160"/>
    </row>
    <row r="948" spans="3:5" ht="13.2" x14ac:dyDescent="0.25">
      <c r="C948" s="160"/>
      <c r="D948" s="160"/>
      <c r="E948" s="160"/>
    </row>
    <row r="949" spans="3:5" ht="13.2" x14ac:dyDescent="0.25">
      <c r="C949" s="160"/>
      <c r="D949" s="160"/>
      <c r="E949" s="160"/>
    </row>
    <row r="950" spans="3:5" ht="13.2" x14ac:dyDescent="0.25">
      <c r="C950" s="160"/>
      <c r="D950" s="160"/>
      <c r="E950" s="160"/>
    </row>
    <row r="951" spans="3:5" ht="13.2" x14ac:dyDescent="0.25">
      <c r="C951" s="160"/>
      <c r="D951" s="160"/>
      <c r="E951" s="160"/>
    </row>
    <row r="952" spans="3:5" ht="13.2" x14ac:dyDescent="0.25">
      <c r="C952" s="160"/>
      <c r="D952" s="160"/>
      <c r="E952" s="160"/>
    </row>
    <row r="953" spans="3:5" ht="13.2" x14ac:dyDescent="0.25">
      <c r="C953" s="160"/>
      <c r="D953" s="160"/>
      <c r="E953" s="160"/>
    </row>
    <row r="954" spans="3:5" ht="13.2" x14ac:dyDescent="0.25">
      <c r="C954" s="160"/>
      <c r="D954" s="160"/>
      <c r="E954" s="160"/>
    </row>
    <row r="955" spans="3:5" ht="13.2" x14ac:dyDescent="0.25">
      <c r="C955" s="160"/>
      <c r="D955" s="160"/>
      <c r="E955" s="160"/>
    </row>
    <row r="956" spans="3:5" ht="13.2" x14ac:dyDescent="0.25">
      <c r="C956" s="160"/>
      <c r="D956" s="160"/>
      <c r="E956" s="160"/>
    </row>
    <row r="957" spans="3:5" ht="13.2" x14ac:dyDescent="0.25">
      <c r="C957" s="160"/>
      <c r="D957" s="160"/>
      <c r="E957" s="160"/>
    </row>
    <row r="958" spans="3:5" ht="13.2" x14ac:dyDescent="0.25">
      <c r="C958" s="160"/>
      <c r="D958" s="160"/>
      <c r="E958" s="160"/>
    </row>
    <row r="959" spans="3:5" ht="13.2" x14ac:dyDescent="0.25">
      <c r="C959" s="160"/>
      <c r="D959" s="160"/>
      <c r="E959" s="160"/>
    </row>
    <row r="960" spans="3:5" ht="13.2" x14ac:dyDescent="0.25">
      <c r="C960" s="160"/>
      <c r="D960" s="160"/>
      <c r="E960" s="160"/>
    </row>
    <row r="961" spans="3:5" ht="13.2" x14ac:dyDescent="0.25">
      <c r="C961" s="160"/>
      <c r="D961" s="160"/>
      <c r="E961" s="160"/>
    </row>
    <row r="962" spans="3:5" ht="13.2" x14ac:dyDescent="0.25">
      <c r="C962" s="160"/>
      <c r="D962" s="160"/>
      <c r="E962" s="160"/>
    </row>
    <row r="963" spans="3:5" ht="13.2" x14ac:dyDescent="0.25">
      <c r="C963" s="160"/>
      <c r="D963" s="160"/>
      <c r="E963" s="160"/>
    </row>
    <row r="964" spans="3:5" ht="13.2" x14ac:dyDescent="0.25">
      <c r="C964" s="160"/>
      <c r="D964" s="160"/>
      <c r="E964" s="160"/>
    </row>
    <row r="965" spans="3:5" ht="13.2" x14ac:dyDescent="0.25">
      <c r="C965" s="160"/>
      <c r="D965" s="160"/>
      <c r="E965" s="160"/>
    </row>
    <row r="966" spans="3:5" ht="13.2" x14ac:dyDescent="0.25">
      <c r="C966" s="160"/>
      <c r="D966" s="160"/>
      <c r="E966" s="160"/>
    </row>
    <row r="967" spans="3:5" ht="13.2" x14ac:dyDescent="0.25">
      <c r="C967" s="160"/>
      <c r="D967" s="160"/>
      <c r="E967" s="160"/>
    </row>
    <row r="968" spans="3:5" ht="13.2" x14ac:dyDescent="0.25">
      <c r="C968" s="160"/>
      <c r="D968" s="160"/>
      <c r="E968" s="160"/>
    </row>
    <row r="969" spans="3:5" ht="13.2" x14ac:dyDescent="0.25">
      <c r="C969" s="160"/>
      <c r="D969" s="160"/>
      <c r="E969" s="160"/>
    </row>
    <row r="970" spans="3:5" ht="13.2" x14ac:dyDescent="0.25">
      <c r="C970" s="160"/>
      <c r="D970" s="160"/>
      <c r="E970" s="160"/>
    </row>
    <row r="971" spans="3:5" ht="13.2" x14ac:dyDescent="0.25">
      <c r="C971" s="160"/>
      <c r="D971" s="160"/>
      <c r="E971" s="160"/>
    </row>
    <row r="972" spans="3:5" ht="13.2" x14ac:dyDescent="0.25">
      <c r="C972" s="160"/>
      <c r="D972" s="160"/>
      <c r="E972" s="160"/>
    </row>
    <row r="973" spans="3:5" ht="13.2" x14ac:dyDescent="0.25">
      <c r="C973" s="160"/>
      <c r="D973" s="160"/>
      <c r="E973" s="160"/>
    </row>
    <row r="974" spans="3:5" ht="13.2" x14ac:dyDescent="0.25">
      <c r="C974" s="160"/>
      <c r="D974" s="160"/>
      <c r="E974" s="160"/>
    </row>
    <row r="975" spans="3:5" ht="13.2" x14ac:dyDescent="0.25">
      <c r="C975" s="160"/>
      <c r="D975" s="160"/>
      <c r="E975" s="160"/>
    </row>
    <row r="976" spans="3:5" ht="13.2" x14ac:dyDescent="0.25">
      <c r="C976" s="160"/>
      <c r="D976" s="160"/>
      <c r="E976" s="160"/>
    </row>
    <row r="977" spans="3:5" ht="13.2" x14ac:dyDescent="0.25">
      <c r="C977" s="160"/>
      <c r="D977" s="160"/>
      <c r="E977" s="160"/>
    </row>
    <row r="978" spans="3:5" ht="13.2" x14ac:dyDescent="0.25">
      <c r="C978" s="160"/>
      <c r="D978" s="160"/>
      <c r="E978" s="160"/>
    </row>
    <row r="979" spans="3:5" ht="13.2" x14ac:dyDescent="0.25">
      <c r="C979" s="160"/>
      <c r="D979" s="160"/>
      <c r="E979" s="160"/>
    </row>
    <row r="980" spans="3:5" ht="13.2" x14ac:dyDescent="0.25">
      <c r="C980" s="160"/>
      <c r="D980" s="160"/>
      <c r="E980" s="160"/>
    </row>
    <row r="981" spans="3:5" ht="13.2" x14ac:dyDescent="0.25">
      <c r="C981" s="160"/>
      <c r="D981" s="160"/>
      <c r="E981" s="160"/>
    </row>
    <row r="982" spans="3:5" ht="13.2" x14ac:dyDescent="0.25">
      <c r="C982" s="160"/>
      <c r="D982" s="160"/>
      <c r="E982" s="160"/>
    </row>
    <row r="983" spans="3:5" ht="13.2" x14ac:dyDescent="0.25">
      <c r="C983" s="160"/>
      <c r="D983" s="160"/>
      <c r="E983" s="160"/>
    </row>
    <row r="984" spans="3:5" ht="13.2" x14ac:dyDescent="0.25">
      <c r="C984" s="160"/>
      <c r="D984" s="160"/>
      <c r="E984" s="160"/>
    </row>
    <row r="985" spans="3:5" ht="13.2" x14ac:dyDescent="0.25">
      <c r="C985" s="160"/>
      <c r="D985" s="160"/>
      <c r="E985" s="160"/>
    </row>
    <row r="986" spans="3:5" ht="13.2" x14ac:dyDescent="0.25">
      <c r="C986" s="160"/>
      <c r="D986" s="160"/>
      <c r="E986" s="160"/>
    </row>
    <row r="987" spans="3:5" ht="13.2" x14ac:dyDescent="0.25">
      <c r="C987" s="160"/>
      <c r="D987" s="160"/>
      <c r="E987" s="160"/>
    </row>
    <row r="988" spans="3:5" ht="13.2" x14ac:dyDescent="0.25">
      <c r="C988" s="160"/>
      <c r="D988" s="160"/>
      <c r="E988" s="160"/>
    </row>
    <row r="989" spans="3:5" ht="13.2" x14ac:dyDescent="0.25">
      <c r="C989" s="160"/>
      <c r="D989" s="160"/>
      <c r="E989" s="160"/>
    </row>
    <row r="990" spans="3:5" ht="13.2" x14ac:dyDescent="0.25">
      <c r="C990" s="160"/>
      <c r="D990" s="160"/>
      <c r="E990" s="160"/>
    </row>
    <row r="991" spans="3:5" ht="13.2" x14ac:dyDescent="0.25">
      <c r="C991" s="160"/>
      <c r="D991" s="160"/>
      <c r="E991" s="160"/>
    </row>
    <row r="992" spans="3:5" ht="13.2" x14ac:dyDescent="0.25">
      <c r="C992" s="160"/>
      <c r="D992" s="160"/>
      <c r="E992" s="160"/>
    </row>
    <row r="993" spans="3:5" ht="13.2" x14ac:dyDescent="0.25">
      <c r="C993" s="160"/>
      <c r="D993" s="160"/>
      <c r="E993" s="160"/>
    </row>
    <row r="994" spans="3:5" ht="13.2" x14ac:dyDescent="0.25">
      <c r="C994" s="160"/>
      <c r="D994" s="160"/>
      <c r="E994" s="160"/>
    </row>
    <row r="995" spans="3:5" ht="13.2" x14ac:dyDescent="0.25">
      <c r="C995" s="160"/>
      <c r="D995" s="160"/>
      <c r="E995" s="160"/>
    </row>
    <row r="996" spans="3:5" ht="13.2" x14ac:dyDescent="0.25">
      <c r="C996" s="160"/>
      <c r="D996" s="160"/>
      <c r="E996" s="160"/>
    </row>
  </sheetData>
  <dataValidations count="1">
    <dataValidation type="custom" allowBlank="1" showDropDown="1" sqref="C2:E35" xr:uid="{00000000-0002-0000-11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99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3.21875" customWidth="1"/>
    <col min="2" max="2" width="6.21875" customWidth="1"/>
    <col min="3" max="3" width="17.88671875" customWidth="1"/>
    <col min="4" max="4" width="18.77734375" customWidth="1"/>
    <col min="5" max="5" width="16.33203125" customWidth="1"/>
    <col min="6" max="6" width="15.44140625" customWidth="1"/>
  </cols>
  <sheetData>
    <row r="1" spans="1:6" ht="30" customHeight="1" x14ac:dyDescent="0.25">
      <c r="A1" s="160"/>
      <c r="B1" s="1" t="s">
        <v>179</v>
      </c>
      <c r="C1" s="1" t="s">
        <v>180</v>
      </c>
      <c r="D1" s="1" t="s">
        <v>181</v>
      </c>
      <c r="E1" s="1" t="s">
        <v>182</v>
      </c>
      <c r="F1" s="2" t="s">
        <v>183</v>
      </c>
    </row>
    <row r="2" spans="1:6" ht="22.5" customHeight="1" x14ac:dyDescent="0.25">
      <c r="A2" s="160"/>
      <c r="B2" s="106">
        <v>1</v>
      </c>
      <c r="C2" s="162">
        <v>0</v>
      </c>
      <c r="D2" s="162">
        <v>242110.02</v>
      </c>
      <c r="E2" s="194">
        <f t="shared" ref="E2:E20" si="0">D2+C2</f>
        <v>242110.02</v>
      </c>
      <c r="F2" s="195" t="s">
        <v>190</v>
      </c>
    </row>
    <row r="3" spans="1:6" ht="22.5" customHeight="1" x14ac:dyDescent="0.25">
      <c r="A3" s="160"/>
      <c r="B3" s="68">
        <v>2</v>
      </c>
      <c r="C3" s="163">
        <v>241300</v>
      </c>
      <c r="D3" s="163">
        <v>193600</v>
      </c>
      <c r="E3" s="164">
        <f t="shared" si="0"/>
        <v>434900</v>
      </c>
      <c r="F3" s="195" t="s">
        <v>184</v>
      </c>
    </row>
    <row r="4" spans="1:6" ht="22.5" customHeight="1" x14ac:dyDescent="0.25">
      <c r="A4" s="160"/>
      <c r="B4" s="68">
        <v>3</v>
      </c>
      <c r="C4" s="163">
        <v>247658.02</v>
      </c>
      <c r="D4" s="163">
        <v>559980.01</v>
      </c>
      <c r="E4" s="164">
        <f t="shared" si="0"/>
        <v>807638.03</v>
      </c>
      <c r="F4" s="195" t="s">
        <v>185</v>
      </c>
    </row>
    <row r="5" spans="1:6" ht="22.5" customHeight="1" x14ac:dyDescent="0.25">
      <c r="A5" s="160"/>
      <c r="B5" s="68">
        <v>4</v>
      </c>
      <c r="C5" s="163">
        <v>264250</v>
      </c>
      <c r="D5" s="163">
        <v>363550</v>
      </c>
      <c r="E5" s="164">
        <f t="shared" si="0"/>
        <v>627800</v>
      </c>
      <c r="F5" s="195" t="s">
        <v>186</v>
      </c>
    </row>
    <row r="6" spans="1:6" ht="22.5" customHeight="1" x14ac:dyDescent="0.25">
      <c r="A6" s="160"/>
      <c r="B6" s="68">
        <v>5</v>
      </c>
      <c r="C6" s="163">
        <v>398900</v>
      </c>
      <c r="D6" s="163">
        <v>756706.01</v>
      </c>
      <c r="E6" s="164">
        <f t="shared" si="0"/>
        <v>1155606.01</v>
      </c>
      <c r="F6" s="195" t="s">
        <v>187</v>
      </c>
    </row>
    <row r="7" spans="1:6" ht="22.5" customHeight="1" x14ac:dyDescent="0.25">
      <c r="A7" s="160"/>
      <c r="B7" s="68">
        <v>6</v>
      </c>
      <c r="C7" s="163">
        <v>655200</v>
      </c>
      <c r="D7" s="163">
        <v>839490.01</v>
      </c>
      <c r="E7" s="164">
        <f t="shared" si="0"/>
        <v>1494690.01</v>
      </c>
      <c r="F7" s="195" t="s">
        <v>188</v>
      </c>
    </row>
    <row r="8" spans="1:6" ht="22.5" customHeight="1" x14ac:dyDescent="0.25">
      <c r="A8" s="160"/>
      <c r="B8" s="68">
        <v>7</v>
      </c>
      <c r="C8" s="163">
        <v>568300</v>
      </c>
      <c r="D8" s="163">
        <v>1284300</v>
      </c>
      <c r="E8" s="164">
        <f t="shared" si="0"/>
        <v>1852600</v>
      </c>
      <c r="F8" s="195" t="s">
        <v>189</v>
      </c>
    </row>
    <row r="9" spans="1:6" ht="22.5" customHeight="1" x14ac:dyDescent="0.25">
      <c r="A9" s="160"/>
      <c r="B9" s="68">
        <v>8</v>
      </c>
      <c r="C9" s="163">
        <v>288650</v>
      </c>
      <c r="D9" s="163">
        <v>423459</v>
      </c>
      <c r="E9" s="164">
        <f t="shared" si="0"/>
        <v>712109</v>
      </c>
      <c r="F9" s="195" t="s">
        <v>190</v>
      </c>
    </row>
    <row r="10" spans="1:6" ht="22.5" customHeight="1" x14ac:dyDescent="0.25">
      <c r="A10" s="160"/>
      <c r="B10" s="68">
        <v>9</v>
      </c>
      <c r="C10" s="163">
        <v>511161.59999999998</v>
      </c>
      <c r="D10" s="163">
        <v>346100</v>
      </c>
      <c r="E10" s="164">
        <f t="shared" si="0"/>
        <v>857261.6</v>
      </c>
      <c r="F10" s="195" t="s">
        <v>184</v>
      </c>
    </row>
    <row r="11" spans="1:6" ht="22.5" customHeight="1" x14ac:dyDescent="0.25">
      <c r="A11" s="160"/>
      <c r="B11" s="68">
        <v>10</v>
      </c>
      <c r="C11" s="163">
        <v>451200</v>
      </c>
      <c r="D11" s="163">
        <v>162980</v>
      </c>
      <c r="E11" s="164">
        <f t="shared" si="0"/>
        <v>614180</v>
      </c>
      <c r="F11" s="195" t="s">
        <v>185</v>
      </c>
    </row>
    <row r="12" spans="1:6" ht="22.5" customHeight="1" x14ac:dyDescent="0.25">
      <c r="A12" s="160"/>
      <c r="B12" s="68">
        <v>11</v>
      </c>
      <c r="C12" s="163">
        <v>378650</v>
      </c>
      <c r="D12" s="163">
        <v>295000</v>
      </c>
      <c r="E12" s="164">
        <f t="shared" si="0"/>
        <v>673650</v>
      </c>
      <c r="F12" s="195" t="s">
        <v>186</v>
      </c>
    </row>
    <row r="13" spans="1:6" ht="22.5" customHeight="1" x14ac:dyDescent="0.25">
      <c r="A13" s="160"/>
      <c r="B13" s="68">
        <v>12</v>
      </c>
      <c r="C13" s="163">
        <v>514400</v>
      </c>
      <c r="D13" s="163">
        <v>314601</v>
      </c>
      <c r="E13" s="164">
        <f t="shared" si="0"/>
        <v>829001</v>
      </c>
      <c r="F13" s="195" t="s">
        <v>187</v>
      </c>
    </row>
    <row r="14" spans="1:6" ht="22.5" customHeight="1" x14ac:dyDescent="0.25">
      <c r="A14" s="160"/>
      <c r="B14" s="68">
        <v>13</v>
      </c>
      <c r="C14" s="163">
        <v>354800</v>
      </c>
      <c r="D14" s="163">
        <v>330540</v>
      </c>
      <c r="E14" s="164">
        <f t="shared" si="0"/>
        <v>685340</v>
      </c>
      <c r="F14" s="195" t="s">
        <v>188</v>
      </c>
    </row>
    <row r="15" spans="1:6" ht="22.5" customHeight="1" x14ac:dyDescent="0.25">
      <c r="A15" s="160"/>
      <c r="B15" s="68">
        <v>14</v>
      </c>
      <c r="C15" s="163">
        <v>378550</v>
      </c>
      <c r="D15" s="163">
        <v>334300</v>
      </c>
      <c r="E15" s="164">
        <f t="shared" si="0"/>
        <v>712850</v>
      </c>
      <c r="F15" s="195" t="s">
        <v>189</v>
      </c>
    </row>
    <row r="16" spans="1:6" ht="22.5" customHeight="1" x14ac:dyDescent="0.25">
      <c r="A16" s="160"/>
      <c r="B16" s="68">
        <v>15</v>
      </c>
      <c r="C16" s="163">
        <v>376800</v>
      </c>
      <c r="D16" s="163">
        <v>354030</v>
      </c>
      <c r="E16" s="164">
        <f t="shared" si="0"/>
        <v>730830</v>
      </c>
      <c r="F16" s="195" t="s">
        <v>190</v>
      </c>
    </row>
    <row r="17" spans="1:6" ht="22.5" customHeight="1" x14ac:dyDescent="0.25">
      <c r="A17" s="160"/>
      <c r="B17" s="68">
        <v>16</v>
      </c>
      <c r="C17" s="163">
        <v>363451</v>
      </c>
      <c r="D17" s="163">
        <v>457500</v>
      </c>
      <c r="E17" s="164">
        <f t="shared" si="0"/>
        <v>820951</v>
      </c>
      <c r="F17" s="195" t="s">
        <v>184</v>
      </c>
    </row>
    <row r="18" spans="1:6" ht="22.5" customHeight="1" x14ac:dyDescent="0.25">
      <c r="A18" s="160"/>
      <c r="B18" s="68">
        <v>17</v>
      </c>
      <c r="C18" s="163">
        <v>275990</v>
      </c>
      <c r="D18" s="163">
        <v>431630</v>
      </c>
      <c r="E18" s="164">
        <f t="shared" si="0"/>
        <v>707620</v>
      </c>
      <c r="F18" s="195" t="s">
        <v>185</v>
      </c>
    </row>
    <row r="19" spans="1:6" ht="22.5" customHeight="1" x14ac:dyDescent="0.25">
      <c r="A19" s="160"/>
      <c r="B19" s="68">
        <v>18</v>
      </c>
      <c r="C19" s="163">
        <v>497850</v>
      </c>
      <c r="D19" s="163">
        <v>613000.03</v>
      </c>
      <c r="E19" s="164">
        <f t="shared" si="0"/>
        <v>1110850.03</v>
      </c>
      <c r="F19" s="195" t="s">
        <v>186</v>
      </c>
    </row>
    <row r="20" spans="1:6" ht="22.5" customHeight="1" x14ac:dyDescent="0.25">
      <c r="A20" s="160"/>
      <c r="B20" s="68">
        <v>19</v>
      </c>
      <c r="C20" s="163">
        <v>427200.02</v>
      </c>
      <c r="D20" s="163">
        <v>549880.05000000005</v>
      </c>
      <c r="E20" s="164">
        <f t="shared" si="0"/>
        <v>977080.07000000007</v>
      </c>
      <c r="F20" s="195" t="s">
        <v>187</v>
      </c>
    </row>
    <row r="21" spans="1:6" ht="22.5" customHeight="1" x14ac:dyDescent="0.25">
      <c r="A21" s="160"/>
      <c r="B21" s="68">
        <v>20</v>
      </c>
      <c r="C21" s="163">
        <v>534000.02</v>
      </c>
      <c r="D21" s="163">
        <v>643100.03</v>
      </c>
      <c r="E21" s="164">
        <v>0</v>
      </c>
      <c r="F21" s="195" t="s">
        <v>188</v>
      </c>
    </row>
    <row r="22" spans="1:6" ht="22.5" customHeight="1" x14ac:dyDescent="0.25">
      <c r="A22" s="160"/>
      <c r="B22" s="68">
        <v>21</v>
      </c>
      <c r="C22" s="163">
        <v>446100.01</v>
      </c>
      <c r="D22" s="163">
        <v>441230.01</v>
      </c>
      <c r="E22" s="164">
        <f>D22+C22</f>
        <v>887330.02</v>
      </c>
      <c r="F22" s="195" t="s">
        <v>189</v>
      </c>
    </row>
    <row r="23" spans="1:6" ht="22.5" customHeight="1" x14ac:dyDescent="0.25">
      <c r="A23" s="160"/>
      <c r="B23" s="68">
        <v>22</v>
      </c>
      <c r="C23" s="163">
        <v>336500.01</v>
      </c>
      <c r="D23" s="163">
        <v>377350</v>
      </c>
      <c r="E23" s="164">
        <f>C23+D23</f>
        <v>713850.01</v>
      </c>
      <c r="F23" s="195" t="s">
        <v>190</v>
      </c>
    </row>
    <row r="24" spans="1:6" ht="22.5" customHeight="1" x14ac:dyDescent="0.25">
      <c r="A24" s="160"/>
      <c r="B24" s="68">
        <v>23</v>
      </c>
      <c r="C24" s="163">
        <v>162900</v>
      </c>
      <c r="D24" s="163">
        <v>258500.02</v>
      </c>
      <c r="E24" s="164">
        <f t="shared" ref="E24:E25" si="1">D24+C24</f>
        <v>421400.02</v>
      </c>
      <c r="F24" s="195" t="s">
        <v>184</v>
      </c>
    </row>
    <row r="25" spans="1:6" ht="22.5" customHeight="1" x14ac:dyDescent="0.25">
      <c r="A25" s="160"/>
      <c r="B25" s="68">
        <v>24</v>
      </c>
      <c r="C25" s="163">
        <v>400400.04</v>
      </c>
      <c r="D25" s="163">
        <v>368100</v>
      </c>
      <c r="E25" s="164">
        <f t="shared" si="1"/>
        <v>768500.04</v>
      </c>
      <c r="F25" s="195" t="s">
        <v>185</v>
      </c>
    </row>
    <row r="26" spans="1:6" ht="22.5" customHeight="1" x14ac:dyDescent="0.25">
      <c r="A26" s="160"/>
      <c r="B26" s="68">
        <v>25</v>
      </c>
      <c r="C26" s="163">
        <v>489000.01</v>
      </c>
      <c r="D26" s="163">
        <v>170410.01</v>
      </c>
      <c r="E26" s="164">
        <f t="shared" ref="E26:E31" si="2">C26+D26</f>
        <v>659410.02</v>
      </c>
      <c r="F26" s="195" t="s">
        <v>186</v>
      </c>
    </row>
    <row r="27" spans="1:6" ht="22.5" customHeight="1" x14ac:dyDescent="0.25">
      <c r="A27" s="160"/>
      <c r="B27" s="68">
        <v>26</v>
      </c>
      <c r="C27" s="163">
        <v>425600.01</v>
      </c>
      <c r="D27" s="163">
        <v>188800.02</v>
      </c>
      <c r="E27" s="164">
        <f t="shared" si="2"/>
        <v>614400.03</v>
      </c>
      <c r="F27" s="195" t="s">
        <v>187</v>
      </c>
    </row>
    <row r="28" spans="1:6" ht="22.5" customHeight="1" x14ac:dyDescent="0.25">
      <c r="A28" s="160"/>
      <c r="B28" s="68">
        <v>27</v>
      </c>
      <c r="C28" s="163">
        <v>284930.01</v>
      </c>
      <c r="D28" s="163">
        <v>462800.03</v>
      </c>
      <c r="E28" s="164">
        <f t="shared" si="2"/>
        <v>747730.04</v>
      </c>
      <c r="F28" s="195" t="s">
        <v>188</v>
      </c>
    </row>
    <row r="29" spans="1:6" ht="22.5" customHeight="1" x14ac:dyDescent="0.25">
      <c r="A29" s="160"/>
      <c r="B29" s="68">
        <v>28</v>
      </c>
      <c r="C29" s="163">
        <v>479250.01</v>
      </c>
      <c r="D29" s="163">
        <v>483760.03</v>
      </c>
      <c r="E29" s="164">
        <f t="shared" si="2"/>
        <v>963010.04</v>
      </c>
      <c r="F29" s="195" t="s">
        <v>189</v>
      </c>
    </row>
    <row r="30" spans="1:6" ht="22.5" customHeight="1" x14ac:dyDescent="0.25">
      <c r="A30" s="160"/>
      <c r="B30" s="68">
        <v>29</v>
      </c>
      <c r="C30" s="163">
        <v>172150</v>
      </c>
      <c r="D30" s="163">
        <v>390540.05</v>
      </c>
      <c r="E30" s="164">
        <f t="shared" si="2"/>
        <v>562690.05000000005</v>
      </c>
      <c r="F30" s="195" t="s">
        <v>190</v>
      </c>
    </row>
    <row r="31" spans="1:6" ht="22.5" customHeight="1" x14ac:dyDescent="0.25">
      <c r="A31" s="160"/>
      <c r="B31" s="68">
        <v>30</v>
      </c>
      <c r="C31" s="163">
        <v>351150.03</v>
      </c>
      <c r="D31" s="163">
        <v>173200</v>
      </c>
      <c r="E31" s="164">
        <f t="shared" si="2"/>
        <v>524350.03</v>
      </c>
      <c r="F31" s="195" t="s">
        <v>184</v>
      </c>
    </row>
    <row r="32" spans="1:6" ht="22.5" customHeight="1" x14ac:dyDescent="0.25">
      <c r="B32" s="196" t="s">
        <v>191</v>
      </c>
      <c r="C32" s="166">
        <f t="shared" ref="C32:E32" si="3">SUM(C2:C31)</f>
        <v>11276290.789999997</v>
      </c>
      <c r="D32" s="166">
        <f t="shared" si="3"/>
        <v>12810546.329999998</v>
      </c>
      <c r="E32" s="166">
        <f t="shared" si="3"/>
        <v>22909737.07</v>
      </c>
      <c r="F32" s="197"/>
    </row>
    <row r="33" spans="2:6" ht="22.5" customHeight="1" x14ac:dyDescent="0.25">
      <c r="B33" s="117"/>
      <c r="C33" s="198">
        <f>IF(COUNT(C3:C31)=0, "", AVERAGE(C3:C31))</f>
        <v>388837.61344827578</v>
      </c>
      <c r="D33" s="198">
        <f>IF(COUNT(C3:C31)=0, "", AVERAGE(C3:C31))</f>
        <v>388837.61344827578</v>
      </c>
      <c r="E33" s="198">
        <f>D33+C33</f>
        <v>777675.22689655155</v>
      </c>
      <c r="F33" s="199" t="s">
        <v>192</v>
      </c>
    </row>
    <row r="34" spans="2:6" ht="22.5" customHeight="1" x14ac:dyDescent="0.25">
      <c r="B34" s="117"/>
      <c r="C34" s="198"/>
      <c r="D34" s="198"/>
      <c r="E34" s="198">
        <f>E33*30</f>
        <v>23330256.806896545</v>
      </c>
      <c r="F34" s="199" t="s">
        <v>193</v>
      </c>
    </row>
    <row r="35" spans="2:6" ht="13.2" x14ac:dyDescent="0.25">
      <c r="C35" s="160"/>
      <c r="D35" s="160"/>
      <c r="E35" s="160"/>
    </row>
    <row r="36" spans="2:6" ht="13.2" x14ac:dyDescent="0.25">
      <c r="C36" s="160"/>
      <c r="D36" s="160"/>
      <c r="E36" s="160"/>
    </row>
    <row r="37" spans="2:6" ht="13.2" x14ac:dyDescent="0.25">
      <c r="C37" s="160"/>
      <c r="D37" s="160"/>
      <c r="E37" s="160"/>
    </row>
    <row r="38" spans="2:6" ht="13.2" x14ac:dyDescent="0.25">
      <c r="C38" s="160"/>
      <c r="D38" s="160"/>
      <c r="E38" s="160"/>
    </row>
    <row r="39" spans="2:6" ht="13.2" x14ac:dyDescent="0.25">
      <c r="C39" s="160"/>
      <c r="D39" s="160"/>
      <c r="E39" s="160"/>
    </row>
    <row r="40" spans="2:6" ht="13.2" x14ac:dyDescent="0.25">
      <c r="C40" s="160"/>
      <c r="D40" s="160"/>
      <c r="E40" s="160"/>
    </row>
    <row r="41" spans="2:6" ht="13.2" x14ac:dyDescent="0.25">
      <c r="C41" s="160"/>
      <c r="D41" s="160"/>
      <c r="E41" s="160"/>
    </row>
    <row r="42" spans="2:6" ht="13.2" x14ac:dyDescent="0.25">
      <c r="C42" s="160"/>
      <c r="D42" s="160"/>
      <c r="E42" s="160"/>
    </row>
    <row r="43" spans="2:6" ht="13.2" x14ac:dyDescent="0.25">
      <c r="C43" s="160"/>
      <c r="D43" s="160"/>
      <c r="E43" s="160"/>
    </row>
    <row r="44" spans="2:6" ht="13.2" x14ac:dyDescent="0.25">
      <c r="C44" s="160"/>
      <c r="D44" s="160"/>
      <c r="E44" s="160"/>
    </row>
    <row r="45" spans="2:6" ht="13.2" x14ac:dyDescent="0.25">
      <c r="C45" s="160"/>
      <c r="D45" s="160"/>
      <c r="E45" s="160"/>
    </row>
    <row r="46" spans="2:6" ht="13.2" x14ac:dyDescent="0.25">
      <c r="C46" s="160"/>
      <c r="D46" s="160"/>
      <c r="E46" s="160"/>
    </row>
    <row r="47" spans="2:6" ht="13.2" x14ac:dyDescent="0.25">
      <c r="C47" s="160"/>
      <c r="D47" s="160"/>
      <c r="E47" s="160"/>
    </row>
    <row r="48" spans="2:6" ht="13.2" x14ac:dyDescent="0.25">
      <c r="C48" s="160"/>
      <c r="D48" s="160"/>
      <c r="E48" s="160"/>
    </row>
    <row r="49" spans="3:5" ht="13.2" x14ac:dyDescent="0.25">
      <c r="C49" s="160"/>
      <c r="D49" s="160"/>
      <c r="E49" s="160"/>
    </row>
    <row r="50" spans="3:5" ht="13.2" x14ac:dyDescent="0.25">
      <c r="C50" s="160"/>
      <c r="D50" s="160"/>
      <c r="E50" s="160"/>
    </row>
    <row r="51" spans="3:5" ht="13.2" x14ac:dyDescent="0.25">
      <c r="C51" s="160"/>
      <c r="D51" s="160"/>
      <c r="E51" s="160"/>
    </row>
    <row r="52" spans="3:5" ht="13.2" x14ac:dyDescent="0.25">
      <c r="C52" s="160"/>
      <c r="D52" s="160"/>
      <c r="E52" s="160"/>
    </row>
    <row r="53" spans="3:5" ht="13.2" x14ac:dyDescent="0.25">
      <c r="C53" s="160"/>
      <c r="D53" s="160"/>
      <c r="E53" s="160"/>
    </row>
    <row r="54" spans="3:5" ht="13.2" x14ac:dyDescent="0.25">
      <c r="C54" s="160"/>
      <c r="D54" s="160"/>
      <c r="E54" s="160"/>
    </row>
    <row r="55" spans="3:5" ht="13.2" x14ac:dyDescent="0.25">
      <c r="C55" s="160"/>
      <c r="D55" s="160"/>
      <c r="E55" s="160"/>
    </row>
    <row r="56" spans="3:5" ht="13.2" x14ac:dyDescent="0.25">
      <c r="C56" s="160"/>
      <c r="D56" s="160"/>
      <c r="E56" s="160"/>
    </row>
    <row r="57" spans="3:5" ht="13.2" x14ac:dyDescent="0.25">
      <c r="C57" s="160"/>
      <c r="D57" s="160"/>
      <c r="E57" s="160"/>
    </row>
    <row r="58" spans="3:5" ht="13.2" x14ac:dyDescent="0.25">
      <c r="C58" s="160"/>
      <c r="D58" s="160"/>
      <c r="E58" s="160"/>
    </row>
    <row r="59" spans="3:5" ht="13.2" x14ac:dyDescent="0.25">
      <c r="C59" s="160"/>
      <c r="D59" s="160"/>
      <c r="E59" s="160"/>
    </row>
    <row r="60" spans="3:5" ht="13.2" x14ac:dyDescent="0.25">
      <c r="C60" s="160"/>
      <c r="D60" s="160"/>
      <c r="E60" s="160"/>
    </row>
    <row r="61" spans="3:5" ht="13.2" x14ac:dyDescent="0.25">
      <c r="C61" s="160"/>
      <c r="D61" s="160"/>
      <c r="E61" s="160"/>
    </row>
    <row r="62" spans="3:5" ht="13.2" x14ac:dyDescent="0.25">
      <c r="C62" s="160"/>
      <c r="D62" s="160"/>
      <c r="E62" s="160"/>
    </row>
    <row r="63" spans="3:5" ht="13.2" x14ac:dyDescent="0.25">
      <c r="C63" s="160"/>
      <c r="D63" s="160"/>
      <c r="E63" s="160"/>
    </row>
    <row r="64" spans="3:5" ht="13.2" x14ac:dyDescent="0.25">
      <c r="C64" s="160"/>
      <c r="D64" s="160"/>
      <c r="E64" s="160"/>
    </row>
    <row r="65" spans="3:5" ht="13.2" x14ac:dyDescent="0.25">
      <c r="C65" s="160"/>
      <c r="D65" s="160"/>
      <c r="E65" s="160"/>
    </row>
    <row r="66" spans="3:5" ht="13.2" x14ac:dyDescent="0.25">
      <c r="C66" s="160"/>
      <c r="D66" s="160"/>
      <c r="E66" s="160"/>
    </row>
    <row r="67" spans="3:5" ht="13.2" x14ac:dyDescent="0.25">
      <c r="C67" s="160"/>
      <c r="D67" s="160"/>
      <c r="E67" s="160"/>
    </row>
    <row r="68" spans="3:5" ht="13.2" x14ac:dyDescent="0.25">
      <c r="C68" s="160"/>
      <c r="D68" s="160"/>
      <c r="E68" s="160"/>
    </row>
    <row r="69" spans="3:5" ht="13.2" x14ac:dyDescent="0.25">
      <c r="C69" s="160"/>
      <c r="D69" s="160"/>
      <c r="E69" s="160"/>
    </row>
    <row r="70" spans="3:5" ht="13.2" x14ac:dyDescent="0.25">
      <c r="C70" s="160"/>
      <c r="D70" s="160"/>
      <c r="E70" s="160"/>
    </row>
    <row r="71" spans="3:5" ht="13.2" x14ac:dyDescent="0.25">
      <c r="C71" s="160"/>
      <c r="D71" s="160"/>
      <c r="E71" s="160"/>
    </row>
    <row r="72" spans="3:5" ht="13.2" x14ac:dyDescent="0.25">
      <c r="C72" s="160"/>
      <c r="D72" s="160"/>
      <c r="E72" s="160"/>
    </row>
    <row r="73" spans="3:5" ht="13.2" x14ac:dyDescent="0.25">
      <c r="C73" s="160"/>
      <c r="D73" s="160"/>
      <c r="E73" s="160"/>
    </row>
    <row r="74" spans="3:5" ht="13.2" x14ac:dyDescent="0.25">
      <c r="C74" s="160"/>
      <c r="D74" s="160"/>
      <c r="E74" s="160"/>
    </row>
    <row r="75" spans="3:5" ht="13.2" x14ac:dyDescent="0.25">
      <c r="C75" s="160"/>
      <c r="D75" s="160"/>
      <c r="E75" s="160"/>
    </row>
    <row r="76" spans="3:5" ht="13.2" x14ac:dyDescent="0.25">
      <c r="C76" s="160"/>
      <c r="D76" s="160"/>
      <c r="E76" s="160"/>
    </row>
    <row r="77" spans="3:5" ht="13.2" x14ac:dyDescent="0.25">
      <c r="C77" s="160"/>
      <c r="D77" s="160"/>
      <c r="E77" s="160"/>
    </row>
    <row r="78" spans="3:5" ht="13.2" x14ac:dyDescent="0.25">
      <c r="C78" s="160"/>
      <c r="D78" s="160"/>
      <c r="E78" s="160"/>
    </row>
    <row r="79" spans="3:5" ht="13.2" x14ac:dyDescent="0.25">
      <c r="C79" s="160"/>
      <c r="D79" s="160"/>
      <c r="E79" s="160"/>
    </row>
    <row r="80" spans="3:5" ht="13.2" x14ac:dyDescent="0.25">
      <c r="C80" s="160"/>
      <c r="D80" s="160"/>
      <c r="E80" s="160"/>
    </row>
    <row r="81" spans="3:5" ht="13.2" x14ac:dyDescent="0.25">
      <c r="C81" s="160"/>
      <c r="D81" s="160"/>
      <c r="E81" s="160"/>
    </row>
    <row r="82" spans="3:5" ht="13.2" x14ac:dyDescent="0.25">
      <c r="C82" s="160"/>
      <c r="D82" s="160"/>
      <c r="E82" s="160"/>
    </row>
    <row r="83" spans="3:5" ht="13.2" x14ac:dyDescent="0.25">
      <c r="C83" s="160"/>
      <c r="D83" s="160"/>
      <c r="E83" s="160"/>
    </row>
    <row r="84" spans="3:5" ht="13.2" x14ac:dyDescent="0.25">
      <c r="C84" s="160"/>
      <c r="D84" s="160"/>
      <c r="E84" s="160"/>
    </row>
    <row r="85" spans="3:5" ht="13.2" x14ac:dyDescent="0.25">
      <c r="C85" s="160"/>
      <c r="D85" s="160"/>
      <c r="E85" s="160"/>
    </row>
    <row r="86" spans="3:5" ht="13.2" x14ac:dyDescent="0.25">
      <c r="C86" s="160"/>
      <c r="D86" s="160"/>
      <c r="E86" s="160"/>
    </row>
    <row r="87" spans="3:5" ht="13.2" x14ac:dyDescent="0.25">
      <c r="C87" s="160"/>
      <c r="D87" s="160"/>
      <c r="E87" s="160"/>
    </row>
    <row r="88" spans="3:5" ht="13.2" x14ac:dyDescent="0.25">
      <c r="C88" s="160"/>
      <c r="D88" s="160"/>
      <c r="E88" s="160"/>
    </row>
    <row r="89" spans="3:5" ht="13.2" x14ac:dyDescent="0.25">
      <c r="C89" s="160"/>
      <c r="D89" s="160"/>
      <c r="E89" s="160"/>
    </row>
    <row r="90" spans="3:5" ht="13.2" x14ac:dyDescent="0.25">
      <c r="C90" s="160"/>
      <c r="D90" s="160"/>
      <c r="E90" s="160"/>
    </row>
    <row r="91" spans="3:5" ht="13.2" x14ac:dyDescent="0.25">
      <c r="C91" s="160"/>
      <c r="D91" s="160"/>
      <c r="E91" s="160"/>
    </row>
    <row r="92" spans="3:5" ht="13.2" x14ac:dyDescent="0.25">
      <c r="C92" s="160"/>
      <c r="D92" s="160"/>
      <c r="E92" s="160"/>
    </row>
    <row r="93" spans="3:5" ht="13.2" x14ac:dyDescent="0.25">
      <c r="C93" s="160"/>
      <c r="D93" s="160"/>
      <c r="E93" s="160"/>
    </row>
    <row r="94" spans="3:5" ht="13.2" x14ac:dyDescent="0.25">
      <c r="C94" s="160"/>
      <c r="D94" s="160"/>
      <c r="E94" s="160"/>
    </row>
    <row r="95" spans="3:5" ht="13.2" x14ac:dyDescent="0.25">
      <c r="C95" s="160"/>
      <c r="D95" s="160"/>
      <c r="E95" s="160"/>
    </row>
    <row r="96" spans="3:5" ht="13.2" x14ac:dyDescent="0.25">
      <c r="C96" s="160"/>
      <c r="D96" s="160"/>
      <c r="E96" s="160"/>
    </row>
    <row r="97" spans="3:5" ht="13.2" x14ac:dyDescent="0.25">
      <c r="C97" s="160"/>
      <c r="D97" s="160"/>
      <c r="E97" s="160"/>
    </row>
    <row r="98" spans="3:5" ht="13.2" x14ac:dyDescent="0.25">
      <c r="C98" s="160"/>
      <c r="D98" s="160"/>
      <c r="E98" s="160"/>
    </row>
    <row r="99" spans="3:5" ht="13.2" x14ac:dyDescent="0.25">
      <c r="C99" s="160"/>
      <c r="D99" s="160"/>
      <c r="E99" s="160"/>
    </row>
    <row r="100" spans="3:5" ht="13.2" x14ac:dyDescent="0.25">
      <c r="C100" s="160"/>
      <c r="D100" s="160"/>
      <c r="E100" s="160"/>
    </row>
    <row r="101" spans="3:5" ht="13.2" x14ac:dyDescent="0.25">
      <c r="C101" s="160"/>
      <c r="D101" s="160"/>
      <c r="E101" s="160"/>
    </row>
    <row r="102" spans="3:5" ht="13.2" x14ac:dyDescent="0.25">
      <c r="C102" s="160"/>
      <c r="D102" s="160"/>
      <c r="E102" s="160"/>
    </row>
    <row r="103" spans="3:5" ht="13.2" x14ac:dyDescent="0.25">
      <c r="C103" s="160"/>
      <c r="D103" s="160"/>
      <c r="E103" s="160"/>
    </row>
    <row r="104" spans="3:5" ht="13.2" x14ac:dyDescent="0.25">
      <c r="C104" s="160"/>
      <c r="D104" s="160"/>
      <c r="E104" s="160"/>
    </row>
    <row r="105" spans="3:5" ht="13.2" x14ac:dyDescent="0.25">
      <c r="C105" s="160"/>
      <c r="D105" s="160"/>
      <c r="E105" s="160"/>
    </row>
    <row r="106" spans="3:5" ht="13.2" x14ac:dyDescent="0.25">
      <c r="C106" s="160"/>
      <c r="D106" s="160"/>
      <c r="E106" s="160"/>
    </row>
    <row r="107" spans="3:5" ht="13.2" x14ac:dyDescent="0.25">
      <c r="C107" s="160"/>
      <c r="D107" s="160"/>
      <c r="E107" s="160"/>
    </row>
    <row r="108" spans="3:5" ht="13.2" x14ac:dyDescent="0.25">
      <c r="C108" s="160"/>
      <c r="D108" s="160"/>
      <c r="E108" s="160"/>
    </row>
    <row r="109" spans="3:5" ht="13.2" x14ac:dyDescent="0.25">
      <c r="C109" s="160"/>
      <c r="D109" s="160"/>
      <c r="E109" s="160"/>
    </row>
    <row r="110" spans="3:5" ht="13.2" x14ac:dyDescent="0.25">
      <c r="C110" s="160"/>
      <c r="D110" s="160"/>
      <c r="E110" s="160"/>
    </row>
    <row r="111" spans="3:5" ht="13.2" x14ac:dyDescent="0.25">
      <c r="C111" s="160"/>
      <c r="D111" s="160"/>
      <c r="E111" s="160"/>
    </row>
    <row r="112" spans="3:5" ht="13.2" x14ac:dyDescent="0.25">
      <c r="C112" s="160"/>
      <c r="D112" s="160"/>
      <c r="E112" s="160"/>
    </row>
    <row r="113" spans="3:5" ht="13.2" x14ac:dyDescent="0.25">
      <c r="C113" s="160"/>
      <c r="D113" s="160"/>
      <c r="E113" s="160"/>
    </row>
    <row r="114" spans="3:5" ht="13.2" x14ac:dyDescent="0.25">
      <c r="C114" s="160"/>
      <c r="D114" s="160"/>
      <c r="E114" s="160"/>
    </row>
    <row r="115" spans="3:5" ht="13.2" x14ac:dyDescent="0.25">
      <c r="C115" s="160"/>
      <c r="D115" s="160"/>
      <c r="E115" s="160"/>
    </row>
    <row r="116" spans="3:5" ht="13.2" x14ac:dyDescent="0.25">
      <c r="C116" s="160"/>
      <c r="D116" s="160"/>
      <c r="E116" s="160"/>
    </row>
    <row r="117" spans="3:5" ht="13.2" x14ac:dyDescent="0.25">
      <c r="C117" s="160"/>
      <c r="D117" s="160"/>
      <c r="E117" s="160"/>
    </row>
    <row r="118" spans="3:5" ht="13.2" x14ac:dyDescent="0.25">
      <c r="C118" s="160"/>
      <c r="D118" s="160"/>
      <c r="E118" s="160"/>
    </row>
    <row r="119" spans="3:5" ht="13.2" x14ac:dyDescent="0.25">
      <c r="C119" s="160"/>
      <c r="D119" s="160"/>
      <c r="E119" s="160"/>
    </row>
    <row r="120" spans="3:5" ht="13.2" x14ac:dyDescent="0.25">
      <c r="C120" s="160"/>
      <c r="D120" s="160"/>
      <c r="E120" s="160"/>
    </row>
    <row r="121" spans="3:5" ht="13.2" x14ac:dyDescent="0.25">
      <c r="C121" s="160"/>
      <c r="D121" s="160"/>
      <c r="E121" s="160"/>
    </row>
    <row r="122" spans="3:5" ht="13.2" x14ac:dyDescent="0.25">
      <c r="C122" s="160"/>
      <c r="D122" s="160"/>
      <c r="E122" s="160"/>
    </row>
    <row r="123" spans="3:5" ht="13.2" x14ac:dyDescent="0.25">
      <c r="C123" s="160"/>
      <c r="D123" s="160"/>
      <c r="E123" s="160"/>
    </row>
    <row r="124" spans="3:5" ht="13.2" x14ac:dyDescent="0.25">
      <c r="C124" s="160"/>
      <c r="D124" s="160"/>
      <c r="E124" s="160"/>
    </row>
    <row r="125" spans="3:5" ht="13.2" x14ac:dyDescent="0.25">
      <c r="C125" s="160"/>
      <c r="D125" s="160"/>
      <c r="E125" s="160"/>
    </row>
    <row r="126" spans="3:5" ht="13.2" x14ac:dyDescent="0.25">
      <c r="C126" s="160"/>
      <c r="D126" s="160"/>
      <c r="E126" s="160"/>
    </row>
    <row r="127" spans="3:5" ht="13.2" x14ac:dyDescent="0.25">
      <c r="C127" s="160"/>
      <c r="D127" s="160"/>
      <c r="E127" s="160"/>
    </row>
    <row r="128" spans="3:5" ht="13.2" x14ac:dyDescent="0.25">
      <c r="C128" s="160"/>
      <c r="D128" s="160"/>
      <c r="E128" s="160"/>
    </row>
    <row r="129" spans="3:5" ht="13.2" x14ac:dyDescent="0.25">
      <c r="C129" s="160"/>
      <c r="D129" s="160"/>
      <c r="E129" s="160"/>
    </row>
    <row r="130" spans="3:5" ht="13.2" x14ac:dyDescent="0.25">
      <c r="C130" s="160"/>
      <c r="D130" s="160"/>
      <c r="E130" s="160"/>
    </row>
    <row r="131" spans="3:5" ht="13.2" x14ac:dyDescent="0.25">
      <c r="C131" s="160"/>
      <c r="D131" s="160"/>
      <c r="E131" s="160"/>
    </row>
    <row r="132" spans="3:5" ht="13.2" x14ac:dyDescent="0.25">
      <c r="C132" s="160"/>
      <c r="D132" s="160"/>
      <c r="E132" s="160"/>
    </row>
    <row r="133" spans="3:5" ht="13.2" x14ac:dyDescent="0.25">
      <c r="C133" s="160"/>
      <c r="D133" s="160"/>
      <c r="E133" s="160"/>
    </row>
    <row r="134" spans="3:5" ht="13.2" x14ac:dyDescent="0.25">
      <c r="C134" s="160"/>
      <c r="D134" s="160"/>
      <c r="E134" s="160"/>
    </row>
    <row r="135" spans="3:5" ht="13.2" x14ac:dyDescent="0.25">
      <c r="C135" s="160"/>
      <c r="D135" s="160"/>
      <c r="E135" s="160"/>
    </row>
    <row r="136" spans="3:5" ht="13.2" x14ac:dyDescent="0.25">
      <c r="C136" s="160"/>
      <c r="D136" s="160"/>
      <c r="E136" s="160"/>
    </row>
    <row r="137" spans="3:5" ht="13.2" x14ac:dyDescent="0.25">
      <c r="C137" s="160"/>
      <c r="D137" s="160"/>
      <c r="E137" s="160"/>
    </row>
    <row r="138" spans="3:5" ht="13.2" x14ac:dyDescent="0.25">
      <c r="C138" s="160"/>
      <c r="D138" s="160"/>
      <c r="E138" s="160"/>
    </row>
    <row r="139" spans="3:5" ht="13.2" x14ac:dyDescent="0.25">
      <c r="C139" s="160"/>
      <c r="D139" s="160"/>
      <c r="E139" s="160"/>
    </row>
    <row r="140" spans="3:5" ht="13.2" x14ac:dyDescent="0.25">
      <c r="C140" s="160"/>
      <c r="D140" s="160"/>
      <c r="E140" s="160"/>
    </row>
    <row r="141" spans="3:5" ht="13.2" x14ac:dyDescent="0.25">
      <c r="C141" s="160"/>
      <c r="D141" s="160"/>
      <c r="E141" s="160"/>
    </row>
    <row r="142" spans="3:5" ht="13.2" x14ac:dyDescent="0.25">
      <c r="C142" s="160"/>
      <c r="D142" s="160"/>
      <c r="E142" s="160"/>
    </row>
    <row r="143" spans="3:5" ht="13.2" x14ac:dyDescent="0.25">
      <c r="C143" s="160"/>
      <c r="D143" s="160"/>
      <c r="E143" s="160"/>
    </row>
    <row r="144" spans="3:5" ht="13.2" x14ac:dyDescent="0.25">
      <c r="C144" s="160"/>
      <c r="D144" s="160"/>
      <c r="E144" s="160"/>
    </row>
    <row r="145" spans="3:5" ht="13.2" x14ac:dyDescent="0.25">
      <c r="C145" s="160"/>
      <c r="D145" s="160"/>
      <c r="E145" s="160"/>
    </row>
    <row r="146" spans="3:5" ht="13.2" x14ac:dyDescent="0.25">
      <c r="C146" s="160"/>
      <c r="D146" s="160"/>
      <c r="E146" s="160"/>
    </row>
    <row r="147" spans="3:5" ht="13.2" x14ac:dyDescent="0.25">
      <c r="C147" s="160"/>
      <c r="D147" s="160"/>
      <c r="E147" s="160"/>
    </row>
    <row r="148" spans="3:5" ht="13.2" x14ac:dyDescent="0.25">
      <c r="C148" s="160"/>
      <c r="D148" s="160"/>
      <c r="E148" s="160"/>
    </row>
    <row r="149" spans="3:5" ht="13.2" x14ac:dyDescent="0.25">
      <c r="C149" s="160"/>
      <c r="D149" s="160"/>
      <c r="E149" s="160"/>
    </row>
    <row r="150" spans="3:5" ht="13.2" x14ac:dyDescent="0.25">
      <c r="C150" s="160"/>
      <c r="D150" s="160"/>
      <c r="E150" s="160"/>
    </row>
    <row r="151" spans="3:5" ht="13.2" x14ac:dyDescent="0.25">
      <c r="C151" s="160"/>
      <c r="D151" s="160"/>
      <c r="E151" s="160"/>
    </row>
    <row r="152" spans="3:5" ht="13.2" x14ac:dyDescent="0.25">
      <c r="C152" s="160"/>
      <c r="D152" s="160"/>
      <c r="E152" s="160"/>
    </row>
    <row r="153" spans="3:5" ht="13.2" x14ac:dyDescent="0.25">
      <c r="C153" s="160"/>
      <c r="D153" s="160"/>
      <c r="E153" s="160"/>
    </row>
    <row r="154" spans="3:5" ht="13.2" x14ac:dyDescent="0.25">
      <c r="C154" s="160"/>
      <c r="D154" s="160"/>
      <c r="E154" s="160"/>
    </row>
    <row r="155" spans="3:5" ht="13.2" x14ac:dyDescent="0.25">
      <c r="C155" s="160"/>
      <c r="D155" s="160"/>
      <c r="E155" s="160"/>
    </row>
    <row r="156" spans="3:5" ht="13.2" x14ac:dyDescent="0.25">
      <c r="C156" s="160"/>
      <c r="D156" s="160"/>
      <c r="E156" s="160"/>
    </row>
    <row r="157" spans="3:5" ht="13.2" x14ac:dyDescent="0.25">
      <c r="C157" s="160"/>
      <c r="D157" s="160"/>
      <c r="E157" s="160"/>
    </row>
    <row r="158" spans="3:5" ht="13.2" x14ac:dyDescent="0.25">
      <c r="C158" s="160"/>
      <c r="D158" s="160"/>
      <c r="E158" s="160"/>
    </row>
    <row r="159" spans="3:5" ht="13.2" x14ac:dyDescent="0.25">
      <c r="C159" s="160"/>
      <c r="D159" s="160"/>
      <c r="E159" s="160"/>
    </row>
    <row r="160" spans="3:5" ht="13.2" x14ac:dyDescent="0.25">
      <c r="C160" s="160"/>
      <c r="D160" s="160"/>
      <c r="E160" s="160"/>
    </row>
    <row r="161" spans="3:5" ht="13.2" x14ac:dyDescent="0.25">
      <c r="C161" s="160"/>
      <c r="D161" s="160"/>
      <c r="E161" s="160"/>
    </row>
    <row r="162" spans="3:5" ht="13.2" x14ac:dyDescent="0.25">
      <c r="C162" s="160"/>
      <c r="D162" s="160"/>
      <c r="E162" s="160"/>
    </row>
    <row r="163" spans="3:5" ht="13.2" x14ac:dyDescent="0.25">
      <c r="C163" s="160"/>
      <c r="D163" s="160"/>
      <c r="E163" s="160"/>
    </row>
    <row r="164" spans="3:5" ht="13.2" x14ac:dyDescent="0.25">
      <c r="C164" s="160"/>
      <c r="D164" s="160"/>
      <c r="E164" s="160"/>
    </row>
    <row r="165" spans="3:5" ht="13.2" x14ac:dyDescent="0.25">
      <c r="C165" s="160"/>
      <c r="D165" s="160"/>
      <c r="E165" s="160"/>
    </row>
    <row r="166" spans="3:5" ht="13.2" x14ac:dyDescent="0.25">
      <c r="C166" s="160"/>
      <c r="D166" s="160"/>
      <c r="E166" s="160"/>
    </row>
    <row r="167" spans="3:5" ht="13.2" x14ac:dyDescent="0.25">
      <c r="C167" s="160"/>
      <c r="D167" s="160"/>
      <c r="E167" s="160"/>
    </row>
    <row r="168" spans="3:5" ht="13.2" x14ac:dyDescent="0.25">
      <c r="C168" s="160"/>
      <c r="D168" s="160"/>
      <c r="E168" s="160"/>
    </row>
    <row r="169" spans="3:5" ht="13.2" x14ac:dyDescent="0.25">
      <c r="C169" s="160"/>
      <c r="D169" s="160"/>
      <c r="E169" s="160"/>
    </row>
    <row r="170" spans="3:5" ht="13.2" x14ac:dyDescent="0.25">
      <c r="C170" s="160"/>
      <c r="D170" s="160"/>
      <c r="E170" s="160"/>
    </row>
    <row r="171" spans="3:5" ht="13.2" x14ac:dyDescent="0.25">
      <c r="C171" s="160"/>
      <c r="D171" s="160"/>
      <c r="E171" s="160"/>
    </row>
    <row r="172" spans="3:5" ht="13.2" x14ac:dyDescent="0.25">
      <c r="C172" s="160"/>
      <c r="D172" s="160"/>
      <c r="E172" s="160"/>
    </row>
    <row r="173" spans="3:5" ht="13.2" x14ac:dyDescent="0.25">
      <c r="C173" s="160"/>
      <c r="D173" s="160"/>
      <c r="E173" s="160"/>
    </row>
    <row r="174" spans="3:5" ht="13.2" x14ac:dyDescent="0.25">
      <c r="C174" s="160"/>
      <c r="D174" s="160"/>
      <c r="E174" s="160"/>
    </row>
    <row r="175" spans="3:5" ht="13.2" x14ac:dyDescent="0.25">
      <c r="C175" s="160"/>
      <c r="D175" s="160"/>
      <c r="E175" s="160"/>
    </row>
    <row r="176" spans="3:5" ht="13.2" x14ac:dyDescent="0.25">
      <c r="C176" s="160"/>
      <c r="D176" s="160"/>
      <c r="E176" s="160"/>
    </row>
    <row r="177" spans="3:5" ht="13.2" x14ac:dyDescent="0.25">
      <c r="C177" s="160"/>
      <c r="D177" s="160"/>
      <c r="E177" s="160"/>
    </row>
    <row r="178" spans="3:5" ht="13.2" x14ac:dyDescent="0.25">
      <c r="C178" s="160"/>
      <c r="D178" s="160"/>
      <c r="E178" s="160"/>
    </row>
    <row r="179" spans="3:5" ht="13.2" x14ac:dyDescent="0.25">
      <c r="C179" s="160"/>
      <c r="D179" s="160"/>
      <c r="E179" s="160"/>
    </row>
    <row r="180" spans="3:5" ht="13.2" x14ac:dyDescent="0.25">
      <c r="C180" s="160"/>
      <c r="D180" s="160"/>
      <c r="E180" s="160"/>
    </row>
    <row r="181" spans="3:5" ht="13.2" x14ac:dyDescent="0.25">
      <c r="C181" s="160"/>
      <c r="D181" s="160"/>
      <c r="E181" s="160"/>
    </row>
    <row r="182" spans="3:5" ht="13.2" x14ac:dyDescent="0.25">
      <c r="C182" s="160"/>
      <c r="D182" s="160"/>
      <c r="E182" s="160"/>
    </row>
    <row r="183" spans="3:5" ht="13.2" x14ac:dyDescent="0.25">
      <c r="C183" s="160"/>
      <c r="D183" s="160"/>
      <c r="E183" s="160"/>
    </row>
    <row r="184" spans="3:5" ht="13.2" x14ac:dyDescent="0.25">
      <c r="C184" s="160"/>
      <c r="D184" s="160"/>
      <c r="E184" s="160"/>
    </row>
    <row r="185" spans="3:5" ht="13.2" x14ac:dyDescent="0.25">
      <c r="C185" s="160"/>
      <c r="D185" s="160"/>
      <c r="E185" s="160"/>
    </row>
    <row r="186" spans="3:5" ht="13.2" x14ac:dyDescent="0.25">
      <c r="C186" s="160"/>
      <c r="D186" s="160"/>
      <c r="E186" s="160"/>
    </row>
    <row r="187" spans="3:5" ht="13.2" x14ac:dyDescent="0.25">
      <c r="C187" s="160"/>
      <c r="D187" s="160"/>
      <c r="E187" s="160"/>
    </row>
    <row r="188" spans="3:5" ht="13.2" x14ac:dyDescent="0.25">
      <c r="C188" s="160"/>
      <c r="D188" s="160"/>
      <c r="E188" s="160"/>
    </row>
    <row r="189" spans="3:5" ht="13.2" x14ac:dyDescent="0.25">
      <c r="C189" s="160"/>
      <c r="D189" s="160"/>
      <c r="E189" s="160"/>
    </row>
    <row r="190" spans="3:5" ht="13.2" x14ac:dyDescent="0.25">
      <c r="C190" s="160"/>
      <c r="D190" s="160"/>
      <c r="E190" s="160"/>
    </row>
    <row r="191" spans="3:5" ht="13.2" x14ac:dyDescent="0.25">
      <c r="C191" s="160"/>
      <c r="D191" s="160"/>
      <c r="E191" s="160"/>
    </row>
    <row r="192" spans="3:5" ht="13.2" x14ac:dyDescent="0.25">
      <c r="C192" s="160"/>
      <c r="D192" s="160"/>
      <c r="E192" s="160"/>
    </row>
    <row r="193" spans="3:5" ht="13.2" x14ac:dyDescent="0.25">
      <c r="C193" s="160"/>
      <c r="D193" s="160"/>
      <c r="E193" s="160"/>
    </row>
    <row r="194" spans="3:5" ht="13.2" x14ac:dyDescent="0.25">
      <c r="C194" s="160"/>
      <c r="D194" s="160"/>
      <c r="E194" s="160"/>
    </row>
    <row r="195" spans="3:5" ht="13.2" x14ac:dyDescent="0.25">
      <c r="C195" s="160"/>
      <c r="D195" s="160"/>
      <c r="E195" s="160"/>
    </row>
    <row r="196" spans="3:5" ht="13.2" x14ac:dyDescent="0.25">
      <c r="C196" s="160"/>
      <c r="D196" s="160"/>
      <c r="E196" s="160"/>
    </row>
    <row r="197" spans="3:5" ht="13.2" x14ac:dyDescent="0.25">
      <c r="C197" s="160"/>
      <c r="D197" s="160"/>
      <c r="E197" s="160"/>
    </row>
    <row r="198" spans="3:5" ht="13.2" x14ac:dyDescent="0.25">
      <c r="C198" s="160"/>
      <c r="D198" s="160"/>
      <c r="E198" s="160"/>
    </row>
    <row r="199" spans="3:5" ht="13.2" x14ac:dyDescent="0.25">
      <c r="C199" s="160"/>
      <c r="D199" s="160"/>
      <c r="E199" s="160"/>
    </row>
    <row r="200" spans="3:5" ht="13.2" x14ac:dyDescent="0.25">
      <c r="C200" s="160"/>
      <c r="D200" s="160"/>
      <c r="E200" s="160"/>
    </row>
    <row r="201" spans="3:5" ht="13.2" x14ac:dyDescent="0.25">
      <c r="C201" s="160"/>
      <c r="D201" s="160"/>
      <c r="E201" s="160"/>
    </row>
    <row r="202" spans="3:5" ht="13.2" x14ac:dyDescent="0.25">
      <c r="C202" s="160"/>
      <c r="D202" s="160"/>
      <c r="E202" s="160"/>
    </row>
    <row r="203" spans="3:5" ht="13.2" x14ac:dyDescent="0.25">
      <c r="C203" s="160"/>
      <c r="D203" s="160"/>
      <c r="E203" s="160"/>
    </row>
    <row r="204" spans="3:5" ht="13.2" x14ac:dyDescent="0.25">
      <c r="C204" s="160"/>
      <c r="D204" s="160"/>
      <c r="E204" s="160"/>
    </row>
    <row r="205" spans="3:5" ht="13.2" x14ac:dyDescent="0.25">
      <c r="C205" s="160"/>
      <c r="D205" s="160"/>
      <c r="E205" s="160"/>
    </row>
    <row r="206" spans="3:5" ht="13.2" x14ac:dyDescent="0.25">
      <c r="C206" s="160"/>
      <c r="D206" s="160"/>
      <c r="E206" s="160"/>
    </row>
    <row r="207" spans="3:5" ht="13.2" x14ac:dyDescent="0.25">
      <c r="C207" s="160"/>
      <c r="D207" s="160"/>
      <c r="E207" s="160"/>
    </row>
    <row r="208" spans="3:5" ht="13.2" x14ac:dyDescent="0.25">
      <c r="C208" s="160"/>
      <c r="D208" s="160"/>
      <c r="E208" s="160"/>
    </row>
    <row r="209" spans="3:5" ht="13.2" x14ac:dyDescent="0.25">
      <c r="C209" s="160"/>
      <c r="D209" s="160"/>
      <c r="E209" s="160"/>
    </row>
    <row r="210" spans="3:5" ht="13.2" x14ac:dyDescent="0.25">
      <c r="C210" s="160"/>
      <c r="D210" s="160"/>
      <c r="E210" s="160"/>
    </row>
    <row r="211" spans="3:5" ht="13.2" x14ac:dyDescent="0.25">
      <c r="C211" s="160"/>
      <c r="D211" s="160"/>
      <c r="E211" s="160"/>
    </row>
    <row r="212" spans="3:5" ht="13.2" x14ac:dyDescent="0.25">
      <c r="C212" s="160"/>
      <c r="D212" s="160"/>
      <c r="E212" s="160"/>
    </row>
    <row r="213" spans="3:5" ht="13.2" x14ac:dyDescent="0.25">
      <c r="C213" s="160"/>
      <c r="D213" s="160"/>
      <c r="E213" s="160"/>
    </row>
    <row r="214" spans="3:5" ht="13.2" x14ac:dyDescent="0.25">
      <c r="C214" s="160"/>
      <c r="D214" s="160"/>
      <c r="E214" s="160"/>
    </row>
    <row r="215" spans="3:5" ht="13.2" x14ac:dyDescent="0.25">
      <c r="C215" s="160"/>
      <c r="D215" s="160"/>
      <c r="E215" s="160"/>
    </row>
    <row r="216" spans="3:5" ht="13.2" x14ac:dyDescent="0.25">
      <c r="C216" s="160"/>
      <c r="D216" s="160"/>
      <c r="E216" s="160"/>
    </row>
    <row r="217" spans="3:5" ht="13.2" x14ac:dyDescent="0.25">
      <c r="C217" s="160"/>
      <c r="D217" s="160"/>
      <c r="E217" s="160"/>
    </row>
    <row r="218" spans="3:5" ht="13.2" x14ac:dyDescent="0.25">
      <c r="C218" s="160"/>
      <c r="D218" s="160"/>
      <c r="E218" s="160"/>
    </row>
    <row r="219" spans="3:5" ht="13.2" x14ac:dyDescent="0.25">
      <c r="C219" s="160"/>
      <c r="D219" s="160"/>
      <c r="E219" s="160"/>
    </row>
    <row r="220" spans="3:5" ht="13.2" x14ac:dyDescent="0.25">
      <c r="C220" s="160"/>
      <c r="D220" s="160"/>
      <c r="E220" s="160"/>
    </row>
    <row r="221" spans="3:5" ht="13.2" x14ac:dyDescent="0.25">
      <c r="C221" s="160"/>
      <c r="D221" s="160"/>
      <c r="E221" s="160"/>
    </row>
    <row r="222" spans="3:5" ht="13.2" x14ac:dyDescent="0.25">
      <c r="C222" s="160"/>
      <c r="D222" s="160"/>
      <c r="E222" s="160"/>
    </row>
    <row r="223" spans="3:5" ht="13.2" x14ac:dyDescent="0.25">
      <c r="C223" s="160"/>
      <c r="D223" s="160"/>
      <c r="E223" s="160"/>
    </row>
    <row r="224" spans="3:5" ht="13.2" x14ac:dyDescent="0.25">
      <c r="C224" s="160"/>
      <c r="D224" s="160"/>
      <c r="E224" s="160"/>
    </row>
    <row r="225" spans="3:5" ht="13.2" x14ac:dyDescent="0.25">
      <c r="C225" s="160"/>
      <c r="D225" s="160"/>
      <c r="E225" s="160"/>
    </row>
    <row r="226" spans="3:5" ht="13.2" x14ac:dyDescent="0.25">
      <c r="C226" s="160"/>
      <c r="D226" s="160"/>
      <c r="E226" s="160"/>
    </row>
    <row r="227" spans="3:5" ht="13.2" x14ac:dyDescent="0.25">
      <c r="C227" s="160"/>
      <c r="D227" s="160"/>
      <c r="E227" s="160"/>
    </row>
    <row r="228" spans="3:5" ht="13.2" x14ac:dyDescent="0.25">
      <c r="C228" s="160"/>
      <c r="D228" s="160"/>
      <c r="E228" s="160"/>
    </row>
    <row r="229" spans="3:5" ht="13.2" x14ac:dyDescent="0.25">
      <c r="C229" s="160"/>
      <c r="D229" s="160"/>
      <c r="E229" s="160"/>
    </row>
    <row r="230" spans="3:5" ht="13.2" x14ac:dyDescent="0.25">
      <c r="C230" s="160"/>
      <c r="D230" s="160"/>
      <c r="E230" s="160"/>
    </row>
    <row r="231" spans="3:5" ht="13.2" x14ac:dyDescent="0.25">
      <c r="C231" s="160"/>
      <c r="D231" s="160"/>
      <c r="E231" s="160"/>
    </row>
    <row r="232" spans="3:5" ht="13.2" x14ac:dyDescent="0.25">
      <c r="C232" s="160"/>
      <c r="D232" s="160"/>
      <c r="E232" s="160"/>
    </row>
    <row r="233" spans="3:5" ht="13.2" x14ac:dyDescent="0.25">
      <c r="C233" s="160"/>
      <c r="D233" s="160"/>
      <c r="E233" s="160"/>
    </row>
    <row r="234" spans="3:5" ht="13.2" x14ac:dyDescent="0.25">
      <c r="C234" s="160"/>
      <c r="D234" s="160"/>
      <c r="E234" s="160"/>
    </row>
    <row r="235" spans="3:5" ht="13.2" x14ac:dyDescent="0.25">
      <c r="C235" s="160"/>
      <c r="D235" s="160"/>
      <c r="E235" s="160"/>
    </row>
    <row r="236" spans="3:5" ht="13.2" x14ac:dyDescent="0.25">
      <c r="C236" s="160"/>
      <c r="D236" s="160"/>
      <c r="E236" s="160"/>
    </row>
    <row r="237" spans="3:5" ht="13.2" x14ac:dyDescent="0.25">
      <c r="C237" s="160"/>
      <c r="D237" s="160"/>
      <c r="E237" s="160"/>
    </row>
    <row r="238" spans="3:5" ht="13.2" x14ac:dyDescent="0.25">
      <c r="C238" s="160"/>
      <c r="D238" s="160"/>
      <c r="E238" s="160"/>
    </row>
    <row r="239" spans="3:5" ht="13.2" x14ac:dyDescent="0.25">
      <c r="C239" s="160"/>
      <c r="D239" s="160"/>
      <c r="E239" s="160"/>
    </row>
    <row r="240" spans="3:5" ht="13.2" x14ac:dyDescent="0.25">
      <c r="C240" s="160"/>
      <c r="D240" s="160"/>
      <c r="E240" s="160"/>
    </row>
    <row r="241" spans="3:5" ht="13.2" x14ac:dyDescent="0.25">
      <c r="C241" s="160"/>
      <c r="D241" s="160"/>
      <c r="E241" s="160"/>
    </row>
    <row r="242" spans="3:5" ht="13.2" x14ac:dyDescent="0.25">
      <c r="C242" s="160"/>
      <c r="D242" s="160"/>
      <c r="E242" s="160"/>
    </row>
    <row r="243" spans="3:5" ht="13.2" x14ac:dyDescent="0.25">
      <c r="C243" s="160"/>
      <c r="D243" s="160"/>
      <c r="E243" s="160"/>
    </row>
    <row r="244" spans="3:5" ht="13.2" x14ac:dyDescent="0.25">
      <c r="C244" s="160"/>
      <c r="D244" s="160"/>
      <c r="E244" s="160"/>
    </row>
    <row r="245" spans="3:5" ht="13.2" x14ac:dyDescent="0.25">
      <c r="C245" s="160"/>
      <c r="D245" s="160"/>
      <c r="E245" s="160"/>
    </row>
    <row r="246" spans="3:5" ht="13.2" x14ac:dyDescent="0.25">
      <c r="C246" s="160"/>
      <c r="D246" s="160"/>
      <c r="E246" s="160"/>
    </row>
    <row r="247" spans="3:5" ht="13.2" x14ac:dyDescent="0.25">
      <c r="C247" s="160"/>
      <c r="D247" s="160"/>
      <c r="E247" s="160"/>
    </row>
    <row r="248" spans="3:5" ht="13.2" x14ac:dyDescent="0.25">
      <c r="C248" s="160"/>
      <c r="D248" s="160"/>
      <c r="E248" s="160"/>
    </row>
    <row r="249" spans="3:5" ht="13.2" x14ac:dyDescent="0.25">
      <c r="C249" s="160"/>
      <c r="D249" s="160"/>
      <c r="E249" s="160"/>
    </row>
    <row r="250" spans="3:5" ht="13.2" x14ac:dyDescent="0.25">
      <c r="C250" s="160"/>
      <c r="D250" s="160"/>
      <c r="E250" s="160"/>
    </row>
    <row r="251" spans="3:5" ht="13.2" x14ac:dyDescent="0.25">
      <c r="C251" s="160"/>
      <c r="D251" s="160"/>
      <c r="E251" s="160"/>
    </row>
    <row r="252" spans="3:5" ht="13.2" x14ac:dyDescent="0.25">
      <c r="C252" s="160"/>
      <c r="D252" s="160"/>
      <c r="E252" s="160"/>
    </row>
    <row r="253" spans="3:5" ht="13.2" x14ac:dyDescent="0.25">
      <c r="C253" s="160"/>
      <c r="D253" s="160"/>
      <c r="E253" s="160"/>
    </row>
    <row r="254" spans="3:5" ht="13.2" x14ac:dyDescent="0.25">
      <c r="C254" s="160"/>
      <c r="D254" s="160"/>
      <c r="E254" s="160"/>
    </row>
    <row r="255" spans="3:5" ht="13.2" x14ac:dyDescent="0.25">
      <c r="C255" s="160"/>
      <c r="D255" s="160"/>
      <c r="E255" s="160"/>
    </row>
    <row r="256" spans="3:5" ht="13.2" x14ac:dyDescent="0.25">
      <c r="C256" s="160"/>
      <c r="D256" s="160"/>
      <c r="E256" s="160"/>
    </row>
    <row r="257" spans="3:5" ht="13.2" x14ac:dyDescent="0.25">
      <c r="C257" s="160"/>
      <c r="D257" s="160"/>
      <c r="E257" s="160"/>
    </row>
    <row r="258" spans="3:5" ht="13.2" x14ac:dyDescent="0.25">
      <c r="C258" s="160"/>
      <c r="D258" s="160"/>
      <c r="E258" s="160"/>
    </row>
    <row r="259" spans="3:5" ht="13.2" x14ac:dyDescent="0.25">
      <c r="C259" s="160"/>
      <c r="D259" s="160"/>
      <c r="E259" s="160"/>
    </row>
    <row r="260" spans="3:5" ht="13.2" x14ac:dyDescent="0.25">
      <c r="C260" s="160"/>
      <c r="D260" s="160"/>
      <c r="E260" s="160"/>
    </row>
    <row r="261" spans="3:5" ht="13.2" x14ac:dyDescent="0.25">
      <c r="C261" s="160"/>
      <c r="D261" s="160"/>
      <c r="E261" s="160"/>
    </row>
    <row r="262" spans="3:5" ht="13.2" x14ac:dyDescent="0.25">
      <c r="C262" s="160"/>
      <c r="D262" s="160"/>
      <c r="E262" s="160"/>
    </row>
    <row r="263" spans="3:5" ht="13.2" x14ac:dyDescent="0.25">
      <c r="C263" s="160"/>
      <c r="D263" s="160"/>
      <c r="E263" s="160"/>
    </row>
    <row r="264" spans="3:5" ht="13.2" x14ac:dyDescent="0.25">
      <c r="C264" s="160"/>
      <c r="D264" s="160"/>
      <c r="E264" s="160"/>
    </row>
    <row r="265" spans="3:5" ht="13.2" x14ac:dyDescent="0.25">
      <c r="C265" s="160"/>
      <c r="D265" s="160"/>
      <c r="E265" s="160"/>
    </row>
    <row r="266" spans="3:5" ht="13.2" x14ac:dyDescent="0.25">
      <c r="C266" s="160"/>
      <c r="D266" s="160"/>
      <c r="E266" s="160"/>
    </row>
    <row r="267" spans="3:5" ht="13.2" x14ac:dyDescent="0.25">
      <c r="C267" s="160"/>
      <c r="D267" s="160"/>
      <c r="E267" s="160"/>
    </row>
    <row r="268" spans="3:5" ht="13.2" x14ac:dyDescent="0.25">
      <c r="C268" s="160"/>
      <c r="D268" s="160"/>
      <c r="E268" s="160"/>
    </row>
    <row r="269" spans="3:5" ht="13.2" x14ac:dyDescent="0.25">
      <c r="C269" s="160"/>
      <c r="D269" s="160"/>
      <c r="E269" s="160"/>
    </row>
    <row r="270" spans="3:5" ht="13.2" x14ac:dyDescent="0.25">
      <c r="C270" s="160"/>
      <c r="D270" s="160"/>
      <c r="E270" s="160"/>
    </row>
    <row r="271" spans="3:5" ht="13.2" x14ac:dyDescent="0.25">
      <c r="C271" s="160"/>
      <c r="D271" s="160"/>
      <c r="E271" s="160"/>
    </row>
    <row r="272" spans="3:5" ht="13.2" x14ac:dyDescent="0.25">
      <c r="C272" s="160"/>
      <c r="D272" s="160"/>
      <c r="E272" s="160"/>
    </row>
    <row r="273" spans="3:5" ht="13.2" x14ac:dyDescent="0.25">
      <c r="C273" s="160"/>
      <c r="D273" s="160"/>
      <c r="E273" s="160"/>
    </row>
    <row r="274" spans="3:5" ht="13.2" x14ac:dyDescent="0.25">
      <c r="C274" s="160"/>
      <c r="D274" s="160"/>
      <c r="E274" s="160"/>
    </row>
    <row r="275" spans="3:5" ht="13.2" x14ac:dyDescent="0.25">
      <c r="C275" s="160"/>
      <c r="D275" s="160"/>
      <c r="E275" s="160"/>
    </row>
    <row r="276" spans="3:5" ht="13.2" x14ac:dyDescent="0.25">
      <c r="C276" s="160"/>
      <c r="D276" s="160"/>
      <c r="E276" s="160"/>
    </row>
    <row r="277" spans="3:5" ht="13.2" x14ac:dyDescent="0.25">
      <c r="C277" s="160"/>
      <c r="D277" s="160"/>
      <c r="E277" s="160"/>
    </row>
    <row r="278" spans="3:5" ht="13.2" x14ac:dyDescent="0.25">
      <c r="C278" s="160"/>
      <c r="D278" s="160"/>
      <c r="E278" s="160"/>
    </row>
    <row r="279" spans="3:5" ht="13.2" x14ac:dyDescent="0.25">
      <c r="C279" s="160"/>
      <c r="D279" s="160"/>
      <c r="E279" s="160"/>
    </row>
    <row r="280" spans="3:5" ht="13.2" x14ac:dyDescent="0.25">
      <c r="C280" s="160"/>
      <c r="D280" s="160"/>
      <c r="E280" s="160"/>
    </row>
    <row r="281" spans="3:5" ht="13.2" x14ac:dyDescent="0.25">
      <c r="C281" s="160"/>
      <c r="D281" s="160"/>
      <c r="E281" s="160"/>
    </row>
    <row r="282" spans="3:5" ht="13.2" x14ac:dyDescent="0.25">
      <c r="C282" s="160"/>
      <c r="D282" s="160"/>
      <c r="E282" s="160"/>
    </row>
    <row r="283" spans="3:5" ht="13.2" x14ac:dyDescent="0.25">
      <c r="C283" s="160"/>
      <c r="D283" s="160"/>
      <c r="E283" s="160"/>
    </row>
    <row r="284" spans="3:5" ht="13.2" x14ac:dyDescent="0.25">
      <c r="C284" s="160"/>
      <c r="D284" s="160"/>
      <c r="E284" s="160"/>
    </row>
    <row r="285" spans="3:5" ht="13.2" x14ac:dyDescent="0.25">
      <c r="C285" s="160"/>
      <c r="D285" s="160"/>
      <c r="E285" s="160"/>
    </row>
    <row r="286" spans="3:5" ht="13.2" x14ac:dyDescent="0.25">
      <c r="C286" s="160"/>
      <c r="D286" s="160"/>
      <c r="E286" s="160"/>
    </row>
    <row r="287" spans="3:5" ht="13.2" x14ac:dyDescent="0.25">
      <c r="C287" s="160"/>
      <c r="D287" s="160"/>
      <c r="E287" s="160"/>
    </row>
    <row r="288" spans="3:5" ht="13.2" x14ac:dyDescent="0.25">
      <c r="C288" s="160"/>
      <c r="D288" s="160"/>
      <c r="E288" s="160"/>
    </row>
    <row r="289" spans="3:5" ht="13.2" x14ac:dyDescent="0.25">
      <c r="C289" s="160"/>
      <c r="D289" s="160"/>
      <c r="E289" s="160"/>
    </row>
    <row r="290" spans="3:5" ht="13.2" x14ac:dyDescent="0.25">
      <c r="C290" s="160"/>
      <c r="D290" s="160"/>
      <c r="E290" s="160"/>
    </row>
    <row r="291" spans="3:5" ht="13.2" x14ac:dyDescent="0.25">
      <c r="C291" s="160"/>
      <c r="D291" s="160"/>
      <c r="E291" s="160"/>
    </row>
    <row r="292" spans="3:5" ht="13.2" x14ac:dyDescent="0.25">
      <c r="C292" s="160"/>
      <c r="D292" s="160"/>
      <c r="E292" s="160"/>
    </row>
    <row r="293" spans="3:5" ht="13.2" x14ac:dyDescent="0.25">
      <c r="C293" s="160"/>
      <c r="D293" s="160"/>
      <c r="E293" s="160"/>
    </row>
    <row r="294" spans="3:5" ht="13.2" x14ac:dyDescent="0.25">
      <c r="C294" s="160"/>
      <c r="D294" s="160"/>
      <c r="E294" s="160"/>
    </row>
    <row r="295" spans="3:5" ht="13.2" x14ac:dyDescent="0.25">
      <c r="C295" s="160"/>
      <c r="D295" s="160"/>
      <c r="E295" s="160"/>
    </row>
    <row r="296" spans="3:5" ht="13.2" x14ac:dyDescent="0.25">
      <c r="C296" s="160"/>
      <c r="D296" s="160"/>
      <c r="E296" s="160"/>
    </row>
    <row r="297" spans="3:5" ht="13.2" x14ac:dyDescent="0.25">
      <c r="C297" s="160"/>
      <c r="D297" s="160"/>
      <c r="E297" s="160"/>
    </row>
    <row r="298" spans="3:5" ht="13.2" x14ac:dyDescent="0.25">
      <c r="C298" s="160"/>
      <c r="D298" s="160"/>
      <c r="E298" s="160"/>
    </row>
    <row r="299" spans="3:5" ht="13.2" x14ac:dyDescent="0.25">
      <c r="C299" s="160"/>
      <c r="D299" s="160"/>
      <c r="E299" s="160"/>
    </row>
    <row r="300" spans="3:5" ht="13.2" x14ac:dyDescent="0.25">
      <c r="C300" s="160"/>
      <c r="D300" s="160"/>
      <c r="E300" s="160"/>
    </row>
    <row r="301" spans="3:5" ht="13.2" x14ac:dyDescent="0.25">
      <c r="C301" s="160"/>
      <c r="D301" s="160"/>
      <c r="E301" s="160"/>
    </row>
    <row r="302" spans="3:5" ht="13.2" x14ac:dyDescent="0.25">
      <c r="C302" s="160"/>
      <c r="D302" s="160"/>
      <c r="E302" s="160"/>
    </row>
    <row r="303" spans="3:5" ht="13.2" x14ac:dyDescent="0.25">
      <c r="C303" s="160"/>
      <c r="D303" s="160"/>
      <c r="E303" s="160"/>
    </row>
    <row r="304" spans="3:5" ht="13.2" x14ac:dyDescent="0.25">
      <c r="C304" s="160"/>
      <c r="D304" s="160"/>
      <c r="E304" s="160"/>
    </row>
    <row r="305" spans="3:5" ht="13.2" x14ac:dyDescent="0.25">
      <c r="C305" s="160"/>
      <c r="D305" s="160"/>
      <c r="E305" s="160"/>
    </row>
    <row r="306" spans="3:5" ht="13.2" x14ac:dyDescent="0.25">
      <c r="C306" s="160"/>
      <c r="D306" s="160"/>
      <c r="E306" s="160"/>
    </row>
    <row r="307" spans="3:5" ht="13.2" x14ac:dyDescent="0.25">
      <c r="C307" s="160"/>
      <c r="D307" s="160"/>
      <c r="E307" s="160"/>
    </row>
    <row r="308" spans="3:5" ht="13.2" x14ac:dyDescent="0.25">
      <c r="C308" s="160"/>
      <c r="D308" s="160"/>
      <c r="E308" s="160"/>
    </row>
    <row r="309" spans="3:5" ht="13.2" x14ac:dyDescent="0.25">
      <c r="C309" s="160"/>
      <c r="D309" s="160"/>
      <c r="E309" s="160"/>
    </row>
    <row r="310" spans="3:5" ht="13.2" x14ac:dyDescent="0.25">
      <c r="C310" s="160"/>
      <c r="D310" s="160"/>
      <c r="E310" s="160"/>
    </row>
    <row r="311" spans="3:5" ht="13.2" x14ac:dyDescent="0.25">
      <c r="C311" s="160"/>
      <c r="D311" s="160"/>
      <c r="E311" s="160"/>
    </row>
    <row r="312" spans="3:5" ht="13.2" x14ac:dyDescent="0.25">
      <c r="C312" s="160"/>
      <c r="D312" s="160"/>
      <c r="E312" s="160"/>
    </row>
    <row r="313" spans="3:5" ht="13.2" x14ac:dyDescent="0.25">
      <c r="C313" s="160"/>
      <c r="D313" s="160"/>
      <c r="E313" s="160"/>
    </row>
    <row r="314" spans="3:5" ht="13.2" x14ac:dyDescent="0.25">
      <c r="C314" s="160"/>
      <c r="D314" s="160"/>
      <c r="E314" s="160"/>
    </row>
    <row r="315" spans="3:5" ht="13.2" x14ac:dyDescent="0.25">
      <c r="C315" s="160"/>
      <c r="D315" s="160"/>
      <c r="E315" s="160"/>
    </row>
    <row r="316" spans="3:5" ht="13.2" x14ac:dyDescent="0.25">
      <c r="C316" s="160"/>
      <c r="D316" s="160"/>
      <c r="E316" s="160"/>
    </row>
    <row r="317" spans="3:5" ht="13.2" x14ac:dyDescent="0.25">
      <c r="C317" s="160"/>
      <c r="D317" s="160"/>
      <c r="E317" s="160"/>
    </row>
    <row r="318" spans="3:5" ht="13.2" x14ac:dyDescent="0.25">
      <c r="C318" s="160"/>
      <c r="D318" s="160"/>
      <c r="E318" s="160"/>
    </row>
    <row r="319" spans="3:5" ht="13.2" x14ac:dyDescent="0.25">
      <c r="C319" s="160"/>
      <c r="D319" s="160"/>
      <c r="E319" s="160"/>
    </row>
    <row r="320" spans="3:5" ht="13.2" x14ac:dyDescent="0.25">
      <c r="C320" s="160"/>
      <c r="D320" s="160"/>
      <c r="E320" s="160"/>
    </row>
    <row r="321" spans="3:5" ht="13.2" x14ac:dyDescent="0.25">
      <c r="C321" s="160"/>
      <c r="D321" s="160"/>
      <c r="E321" s="160"/>
    </row>
    <row r="322" spans="3:5" ht="13.2" x14ac:dyDescent="0.25">
      <c r="C322" s="160"/>
      <c r="D322" s="160"/>
      <c r="E322" s="160"/>
    </row>
    <row r="323" spans="3:5" ht="13.2" x14ac:dyDescent="0.25">
      <c r="C323" s="160"/>
      <c r="D323" s="160"/>
      <c r="E323" s="160"/>
    </row>
    <row r="324" spans="3:5" ht="13.2" x14ac:dyDescent="0.25">
      <c r="C324" s="160"/>
      <c r="D324" s="160"/>
      <c r="E324" s="160"/>
    </row>
    <row r="325" spans="3:5" ht="13.2" x14ac:dyDescent="0.25">
      <c r="C325" s="160"/>
      <c r="D325" s="160"/>
      <c r="E325" s="160"/>
    </row>
    <row r="326" spans="3:5" ht="13.2" x14ac:dyDescent="0.25">
      <c r="C326" s="160"/>
      <c r="D326" s="160"/>
      <c r="E326" s="160"/>
    </row>
    <row r="327" spans="3:5" ht="13.2" x14ac:dyDescent="0.25">
      <c r="C327" s="160"/>
      <c r="D327" s="160"/>
      <c r="E327" s="160"/>
    </row>
    <row r="328" spans="3:5" ht="13.2" x14ac:dyDescent="0.25">
      <c r="C328" s="160"/>
      <c r="D328" s="160"/>
      <c r="E328" s="160"/>
    </row>
    <row r="329" spans="3:5" ht="13.2" x14ac:dyDescent="0.25">
      <c r="C329" s="160"/>
      <c r="D329" s="160"/>
      <c r="E329" s="160"/>
    </row>
    <row r="330" spans="3:5" ht="13.2" x14ac:dyDescent="0.25">
      <c r="C330" s="160"/>
      <c r="D330" s="160"/>
      <c r="E330" s="160"/>
    </row>
    <row r="331" spans="3:5" ht="13.2" x14ac:dyDescent="0.25">
      <c r="C331" s="160"/>
      <c r="D331" s="160"/>
      <c r="E331" s="160"/>
    </row>
    <row r="332" spans="3:5" ht="13.2" x14ac:dyDescent="0.25">
      <c r="C332" s="160"/>
      <c r="D332" s="160"/>
      <c r="E332" s="160"/>
    </row>
    <row r="333" spans="3:5" ht="13.2" x14ac:dyDescent="0.25">
      <c r="C333" s="160"/>
      <c r="D333" s="160"/>
      <c r="E333" s="160"/>
    </row>
    <row r="334" spans="3:5" ht="13.2" x14ac:dyDescent="0.25">
      <c r="C334" s="160"/>
      <c r="D334" s="160"/>
      <c r="E334" s="160"/>
    </row>
    <row r="335" spans="3:5" ht="13.2" x14ac:dyDescent="0.25">
      <c r="C335" s="160"/>
      <c r="D335" s="160"/>
      <c r="E335" s="160"/>
    </row>
    <row r="336" spans="3:5" ht="13.2" x14ac:dyDescent="0.25">
      <c r="C336" s="160"/>
      <c r="D336" s="160"/>
      <c r="E336" s="160"/>
    </row>
    <row r="337" spans="3:5" ht="13.2" x14ac:dyDescent="0.25">
      <c r="C337" s="160"/>
      <c r="D337" s="160"/>
      <c r="E337" s="160"/>
    </row>
    <row r="338" spans="3:5" ht="13.2" x14ac:dyDescent="0.25">
      <c r="C338" s="160"/>
      <c r="D338" s="160"/>
      <c r="E338" s="160"/>
    </row>
    <row r="339" spans="3:5" ht="13.2" x14ac:dyDescent="0.25">
      <c r="C339" s="160"/>
      <c r="D339" s="160"/>
      <c r="E339" s="160"/>
    </row>
    <row r="340" spans="3:5" ht="13.2" x14ac:dyDescent="0.25">
      <c r="C340" s="160"/>
      <c r="D340" s="160"/>
      <c r="E340" s="160"/>
    </row>
    <row r="341" spans="3:5" ht="13.2" x14ac:dyDescent="0.25">
      <c r="C341" s="160"/>
      <c r="D341" s="160"/>
      <c r="E341" s="160"/>
    </row>
    <row r="342" spans="3:5" ht="13.2" x14ac:dyDescent="0.25">
      <c r="C342" s="160"/>
      <c r="D342" s="160"/>
      <c r="E342" s="160"/>
    </row>
    <row r="343" spans="3:5" ht="13.2" x14ac:dyDescent="0.25">
      <c r="C343" s="160"/>
      <c r="D343" s="160"/>
      <c r="E343" s="160"/>
    </row>
    <row r="344" spans="3:5" ht="13.2" x14ac:dyDescent="0.25">
      <c r="C344" s="160"/>
      <c r="D344" s="160"/>
      <c r="E344" s="160"/>
    </row>
    <row r="345" spans="3:5" ht="13.2" x14ac:dyDescent="0.25">
      <c r="C345" s="160"/>
      <c r="D345" s="160"/>
      <c r="E345" s="160"/>
    </row>
    <row r="346" spans="3:5" ht="13.2" x14ac:dyDescent="0.25">
      <c r="C346" s="160"/>
      <c r="D346" s="160"/>
      <c r="E346" s="160"/>
    </row>
    <row r="347" spans="3:5" ht="13.2" x14ac:dyDescent="0.25">
      <c r="C347" s="160"/>
      <c r="D347" s="160"/>
      <c r="E347" s="160"/>
    </row>
    <row r="348" spans="3:5" ht="13.2" x14ac:dyDescent="0.25">
      <c r="C348" s="160"/>
      <c r="D348" s="160"/>
      <c r="E348" s="160"/>
    </row>
    <row r="349" spans="3:5" ht="13.2" x14ac:dyDescent="0.25">
      <c r="C349" s="160"/>
      <c r="D349" s="160"/>
      <c r="E349" s="160"/>
    </row>
    <row r="350" spans="3:5" ht="13.2" x14ac:dyDescent="0.25">
      <c r="C350" s="160"/>
      <c r="D350" s="160"/>
      <c r="E350" s="160"/>
    </row>
    <row r="351" spans="3:5" ht="13.2" x14ac:dyDescent="0.25">
      <c r="C351" s="160"/>
      <c r="D351" s="160"/>
      <c r="E351" s="160"/>
    </row>
    <row r="352" spans="3:5" ht="13.2" x14ac:dyDescent="0.25">
      <c r="C352" s="160"/>
      <c r="D352" s="160"/>
      <c r="E352" s="160"/>
    </row>
    <row r="353" spans="3:5" ht="13.2" x14ac:dyDescent="0.25">
      <c r="C353" s="160"/>
      <c r="D353" s="160"/>
      <c r="E353" s="160"/>
    </row>
    <row r="354" spans="3:5" ht="13.2" x14ac:dyDescent="0.25">
      <c r="C354" s="160"/>
      <c r="D354" s="160"/>
      <c r="E354" s="160"/>
    </row>
    <row r="355" spans="3:5" ht="13.2" x14ac:dyDescent="0.25">
      <c r="C355" s="160"/>
      <c r="D355" s="160"/>
      <c r="E355" s="160"/>
    </row>
    <row r="356" spans="3:5" ht="13.2" x14ac:dyDescent="0.25">
      <c r="C356" s="160"/>
      <c r="D356" s="160"/>
      <c r="E356" s="160"/>
    </row>
    <row r="357" spans="3:5" ht="13.2" x14ac:dyDescent="0.25">
      <c r="C357" s="160"/>
      <c r="D357" s="160"/>
      <c r="E357" s="160"/>
    </row>
    <row r="358" spans="3:5" ht="13.2" x14ac:dyDescent="0.25">
      <c r="C358" s="160"/>
      <c r="D358" s="160"/>
      <c r="E358" s="160"/>
    </row>
    <row r="359" spans="3:5" ht="13.2" x14ac:dyDescent="0.25">
      <c r="C359" s="160"/>
      <c r="D359" s="160"/>
      <c r="E359" s="160"/>
    </row>
    <row r="360" spans="3:5" ht="13.2" x14ac:dyDescent="0.25">
      <c r="C360" s="160"/>
      <c r="D360" s="160"/>
      <c r="E360" s="160"/>
    </row>
    <row r="361" spans="3:5" ht="13.2" x14ac:dyDescent="0.25">
      <c r="C361" s="160"/>
      <c r="D361" s="160"/>
      <c r="E361" s="160"/>
    </row>
    <row r="362" spans="3:5" ht="13.2" x14ac:dyDescent="0.25">
      <c r="C362" s="160"/>
      <c r="D362" s="160"/>
      <c r="E362" s="160"/>
    </row>
    <row r="363" spans="3:5" ht="13.2" x14ac:dyDescent="0.25">
      <c r="C363" s="160"/>
      <c r="D363" s="160"/>
      <c r="E363" s="160"/>
    </row>
    <row r="364" spans="3:5" ht="13.2" x14ac:dyDescent="0.25">
      <c r="C364" s="160"/>
      <c r="D364" s="160"/>
      <c r="E364" s="160"/>
    </row>
    <row r="365" spans="3:5" ht="13.2" x14ac:dyDescent="0.25">
      <c r="C365" s="160"/>
      <c r="D365" s="160"/>
      <c r="E365" s="160"/>
    </row>
    <row r="366" spans="3:5" ht="13.2" x14ac:dyDescent="0.25">
      <c r="C366" s="160"/>
      <c r="D366" s="160"/>
      <c r="E366" s="160"/>
    </row>
    <row r="367" spans="3:5" ht="13.2" x14ac:dyDescent="0.25">
      <c r="C367" s="160"/>
      <c r="D367" s="160"/>
      <c r="E367" s="160"/>
    </row>
    <row r="368" spans="3:5" ht="13.2" x14ac:dyDescent="0.25">
      <c r="C368" s="160"/>
      <c r="D368" s="160"/>
      <c r="E368" s="160"/>
    </row>
    <row r="369" spans="3:5" ht="13.2" x14ac:dyDescent="0.25">
      <c r="C369" s="160"/>
      <c r="D369" s="160"/>
      <c r="E369" s="160"/>
    </row>
    <row r="370" spans="3:5" ht="13.2" x14ac:dyDescent="0.25">
      <c r="C370" s="160"/>
      <c r="D370" s="160"/>
      <c r="E370" s="160"/>
    </row>
    <row r="371" spans="3:5" ht="13.2" x14ac:dyDescent="0.25">
      <c r="C371" s="160"/>
      <c r="D371" s="160"/>
      <c r="E371" s="160"/>
    </row>
    <row r="372" spans="3:5" ht="13.2" x14ac:dyDescent="0.25">
      <c r="C372" s="160"/>
      <c r="D372" s="160"/>
      <c r="E372" s="160"/>
    </row>
    <row r="373" spans="3:5" ht="13.2" x14ac:dyDescent="0.25">
      <c r="C373" s="160"/>
      <c r="D373" s="160"/>
      <c r="E373" s="160"/>
    </row>
    <row r="374" spans="3:5" ht="13.2" x14ac:dyDescent="0.25">
      <c r="C374" s="160"/>
      <c r="D374" s="160"/>
      <c r="E374" s="160"/>
    </row>
    <row r="375" spans="3:5" ht="13.2" x14ac:dyDescent="0.25">
      <c r="C375" s="160"/>
      <c r="D375" s="160"/>
      <c r="E375" s="160"/>
    </row>
    <row r="376" spans="3:5" ht="13.2" x14ac:dyDescent="0.25">
      <c r="C376" s="160"/>
      <c r="D376" s="160"/>
      <c r="E376" s="160"/>
    </row>
    <row r="377" spans="3:5" ht="13.2" x14ac:dyDescent="0.25">
      <c r="C377" s="160"/>
      <c r="D377" s="160"/>
      <c r="E377" s="160"/>
    </row>
    <row r="378" spans="3:5" ht="13.2" x14ac:dyDescent="0.25">
      <c r="C378" s="160"/>
      <c r="D378" s="160"/>
      <c r="E378" s="160"/>
    </row>
    <row r="379" spans="3:5" ht="13.2" x14ac:dyDescent="0.25">
      <c r="C379" s="160"/>
      <c r="D379" s="160"/>
      <c r="E379" s="160"/>
    </row>
    <row r="380" spans="3:5" ht="13.2" x14ac:dyDescent="0.25">
      <c r="C380" s="160"/>
      <c r="D380" s="160"/>
      <c r="E380" s="160"/>
    </row>
    <row r="381" spans="3:5" ht="13.2" x14ac:dyDescent="0.25">
      <c r="C381" s="160"/>
      <c r="D381" s="160"/>
      <c r="E381" s="160"/>
    </row>
    <row r="382" spans="3:5" ht="13.2" x14ac:dyDescent="0.25">
      <c r="C382" s="160"/>
      <c r="D382" s="160"/>
      <c r="E382" s="160"/>
    </row>
    <row r="383" spans="3:5" ht="13.2" x14ac:dyDescent="0.25">
      <c r="C383" s="160"/>
      <c r="D383" s="160"/>
      <c r="E383" s="160"/>
    </row>
    <row r="384" spans="3:5" ht="13.2" x14ac:dyDescent="0.25">
      <c r="C384" s="160"/>
      <c r="D384" s="160"/>
      <c r="E384" s="160"/>
    </row>
    <row r="385" spans="3:5" ht="13.2" x14ac:dyDescent="0.25">
      <c r="C385" s="160"/>
      <c r="D385" s="160"/>
      <c r="E385" s="160"/>
    </row>
    <row r="386" spans="3:5" ht="13.2" x14ac:dyDescent="0.25">
      <c r="C386" s="160"/>
      <c r="D386" s="160"/>
      <c r="E386" s="160"/>
    </row>
    <row r="387" spans="3:5" ht="13.2" x14ac:dyDescent="0.25">
      <c r="C387" s="160"/>
      <c r="D387" s="160"/>
      <c r="E387" s="160"/>
    </row>
    <row r="388" spans="3:5" ht="13.2" x14ac:dyDescent="0.25">
      <c r="C388" s="160"/>
      <c r="D388" s="160"/>
      <c r="E388" s="160"/>
    </row>
    <row r="389" spans="3:5" ht="13.2" x14ac:dyDescent="0.25">
      <c r="C389" s="160"/>
      <c r="D389" s="160"/>
      <c r="E389" s="160"/>
    </row>
    <row r="390" spans="3:5" ht="13.2" x14ac:dyDescent="0.25">
      <c r="C390" s="160"/>
      <c r="D390" s="160"/>
      <c r="E390" s="160"/>
    </row>
    <row r="391" spans="3:5" ht="13.2" x14ac:dyDescent="0.25">
      <c r="C391" s="160"/>
      <c r="D391" s="160"/>
      <c r="E391" s="160"/>
    </row>
    <row r="392" spans="3:5" ht="13.2" x14ac:dyDescent="0.25">
      <c r="C392" s="160"/>
      <c r="D392" s="160"/>
      <c r="E392" s="160"/>
    </row>
    <row r="393" spans="3:5" ht="13.2" x14ac:dyDescent="0.25">
      <c r="C393" s="160"/>
      <c r="D393" s="160"/>
      <c r="E393" s="160"/>
    </row>
    <row r="394" spans="3:5" ht="13.2" x14ac:dyDescent="0.25">
      <c r="C394" s="160"/>
      <c r="D394" s="160"/>
      <c r="E394" s="160"/>
    </row>
    <row r="395" spans="3:5" ht="13.2" x14ac:dyDescent="0.25">
      <c r="C395" s="160"/>
      <c r="D395" s="160"/>
      <c r="E395" s="160"/>
    </row>
    <row r="396" spans="3:5" ht="13.2" x14ac:dyDescent="0.25">
      <c r="C396" s="160"/>
      <c r="D396" s="160"/>
      <c r="E396" s="160"/>
    </row>
    <row r="397" spans="3:5" ht="13.2" x14ac:dyDescent="0.25">
      <c r="C397" s="160"/>
      <c r="D397" s="160"/>
      <c r="E397" s="160"/>
    </row>
    <row r="398" spans="3:5" ht="13.2" x14ac:dyDescent="0.25">
      <c r="C398" s="160"/>
      <c r="D398" s="160"/>
      <c r="E398" s="160"/>
    </row>
    <row r="399" spans="3:5" ht="13.2" x14ac:dyDescent="0.25">
      <c r="C399" s="160"/>
      <c r="D399" s="160"/>
      <c r="E399" s="160"/>
    </row>
    <row r="400" spans="3:5" ht="13.2" x14ac:dyDescent="0.25">
      <c r="C400" s="160"/>
      <c r="D400" s="160"/>
      <c r="E400" s="160"/>
    </row>
    <row r="401" spans="3:5" ht="13.2" x14ac:dyDescent="0.25">
      <c r="C401" s="160"/>
      <c r="D401" s="160"/>
      <c r="E401" s="160"/>
    </row>
    <row r="402" spans="3:5" ht="13.2" x14ac:dyDescent="0.25">
      <c r="C402" s="160"/>
      <c r="D402" s="160"/>
      <c r="E402" s="160"/>
    </row>
    <row r="403" spans="3:5" ht="13.2" x14ac:dyDescent="0.25">
      <c r="C403" s="160"/>
      <c r="D403" s="160"/>
      <c r="E403" s="160"/>
    </row>
    <row r="404" spans="3:5" ht="13.2" x14ac:dyDescent="0.25">
      <c r="C404" s="160"/>
      <c r="D404" s="160"/>
      <c r="E404" s="160"/>
    </row>
    <row r="405" spans="3:5" ht="13.2" x14ac:dyDescent="0.25">
      <c r="C405" s="160"/>
      <c r="D405" s="160"/>
      <c r="E405" s="160"/>
    </row>
    <row r="406" spans="3:5" ht="13.2" x14ac:dyDescent="0.25">
      <c r="C406" s="160"/>
      <c r="D406" s="160"/>
      <c r="E406" s="160"/>
    </row>
    <row r="407" spans="3:5" ht="13.2" x14ac:dyDescent="0.25">
      <c r="C407" s="160"/>
      <c r="D407" s="160"/>
      <c r="E407" s="160"/>
    </row>
    <row r="408" spans="3:5" ht="13.2" x14ac:dyDescent="0.25">
      <c r="C408" s="160"/>
      <c r="D408" s="160"/>
      <c r="E408" s="160"/>
    </row>
    <row r="409" spans="3:5" ht="13.2" x14ac:dyDescent="0.25">
      <c r="C409" s="160"/>
      <c r="D409" s="160"/>
      <c r="E409" s="160"/>
    </row>
    <row r="410" spans="3:5" ht="13.2" x14ac:dyDescent="0.25">
      <c r="C410" s="160"/>
      <c r="D410" s="160"/>
      <c r="E410" s="160"/>
    </row>
    <row r="411" spans="3:5" ht="13.2" x14ac:dyDescent="0.25">
      <c r="C411" s="160"/>
      <c r="D411" s="160"/>
      <c r="E411" s="160"/>
    </row>
    <row r="412" spans="3:5" ht="13.2" x14ac:dyDescent="0.25">
      <c r="C412" s="160"/>
      <c r="D412" s="160"/>
      <c r="E412" s="160"/>
    </row>
    <row r="413" spans="3:5" ht="13.2" x14ac:dyDescent="0.25">
      <c r="C413" s="160"/>
      <c r="D413" s="160"/>
      <c r="E413" s="160"/>
    </row>
    <row r="414" spans="3:5" ht="13.2" x14ac:dyDescent="0.25">
      <c r="C414" s="160"/>
      <c r="D414" s="160"/>
      <c r="E414" s="160"/>
    </row>
    <row r="415" spans="3:5" ht="13.2" x14ac:dyDescent="0.25">
      <c r="C415" s="160"/>
      <c r="D415" s="160"/>
      <c r="E415" s="160"/>
    </row>
    <row r="416" spans="3:5" ht="13.2" x14ac:dyDescent="0.25">
      <c r="C416" s="160"/>
      <c r="D416" s="160"/>
      <c r="E416" s="160"/>
    </row>
    <row r="417" spans="3:5" ht="13.2" x14ac:dyDescent="0.25">
      <c r="C417" s="160"/>
      <c r="D417" s="160"/>
      <c r="E417" s="160"/>
    </row>
    <row r="418" spans="3:5" ht="13.2" x14ac:dyDescent="0.25">
      <c r="C418" s="160"/>
      <c r="D418" s="160"/>
      <c r="E418" s="160"/>
    </row>
    <row r="419" spans="3:5" ht="13.2" x14ac:dyDescent="0.25">
      <c r="C419" s="160"/>
      <c r="D419" s="160"/>
      <c r="E419" s="160"/>
    </row>
    <row r="420" spans="3:5" ht="13.2" x14ac:dyDescent="0.25">
      <c r="C420" s="160"/>
      <c r="D420" s="160"/>
      <c r="E420" s="160"/>
    </row>
    <row r="421" spans="3:5" ht="13.2" x14ac:dyDescent="0.25">
      <c r="C421" s="160"/>
      <c r="D421" s="160"/>
      <c r="E421" s="160"/>
    </row>
    <row r="422" spans="3:5" ht="13.2" x14ac:dyDescent="0.25">
      <c r="C422" s="160"/>
      <c r="D422" s="160"/>
      <c r="E422" s="160"/>
    </row>
    <row r="423" spans="3:5" ht="13.2" x14ac:dyDescent="0.25">
      <c r="C423" s="160"/>
      <c r="D423" s="160"/>
      <c r="E423" s="160"/>
    </row>
    <row r="424" spans="3:5" ht="13.2" x14ac:dyDescent="0.25">
      <c r="C424" s="160"/>
      <c r="D424" s="160"/>
      <c r="E424" s="160"/>
    </row>
    <row r="425" spans="3:5" ht="13.2" x14ac:dyDescent="0.25">
      <c r="C425" s="160"/>
      <c r="D425" s="160"/>
      <c r="E425" s="160"/>
    </row>
    <row r="426" spans="3:5" ht="13.2" x14ac:dyDescent="0.25">
      <c r="C426" s="160"/>
      <c r="D426" s="160"/>
      <c r="E426" s="160"/>
    </row>
    <row r="427" spans="3:5" ht="13.2" x14ac:dyDescent="0.25">
      <c r="C427" s="160"/>
      <c r="D427" s="160"/>
      <c r="E427" s="160"/>
    </row>
    <row r="428" spans="3:5" ht="13.2" x14ac:dyDescent="0.25">
      <c r="C428" s="160"/>
      <c r="D428" s="160"/>
      <c r="E428" s="160"/>
    </row>
    <row r="429" spans="3:5" ht="13.2" x14ac:dyDescent="0.25">
      <c r="C429" s="160"/>
      <c r="D429" s="160"/>
      <c r="E429" s="160"/>
    </row>
    <row r="430" spans="3:5" ht="13.2" x14ac:dyDescent="0.25">
      <c r="C430" s="160"/>
      <c r="D430" s="160"/>
      <c r="E430" s="160"/>
    </row>
    <row r="431" spans="3:5" ht="13.2" x14ac:dyDescent="0.25">
      <c r="C431" s="160"/>
      <c r="D431" s="160"/>
      <c r="E431" s="160"/>
    </row>
    <row r="432" spans="3:5" ht="13.2" x14ac:dyDescent="0.25">
      <c r="C432" s="160"/>
      <c r="D432" s="160"/>
      <c r="E432" s="160"/>
    </row>
    <row r="433" spans="3:5" ht="13.2" x14ac:dyDescent="0.25">
      <c r="C433" s="160"/>
      <c r="D433" s="160"/>
      <c r="E433" s="160"/>
    </row>
    <row r="434" spans="3:5" ht="13.2" x14ac:dyDescent="0.25">
      <c r="C434" s="160"/>
      <c r="D434" s="160"/>
      <c r="E434" s="160"/>
    </row>
    <row r="435" spans="3:5" ht="13.2" x14ac:dyDescent="0.25">
      <c r="C435" s="160"/>
      <c r="D435" s="160"/>
      <c r="E435" s="160"/>
    </row>
    <row r="436" spans="3:5" ht="13.2" x14ac:dyDescent="0.25">
      <c r="C436" s="160"/>
      <c r="D436" s="160"/>
      <c r="E436" s="160"/>
    </row>
    <row r="437" spans="3:5" ht="13.2" x14ac:dyDescent="0.25">
      <c r="C437" s="160"/>
      <c r="D437" s="160"/>
      <c r="E437" s="160"/>
    </row>
    <row r="438" spans="3:5" ht="13.2" x14ac:dyDescent="0.25">
      <c r="C438" s="160"/>
      <c r="D438" s="160"/>
      <c r="E438" s="160"/>
    </row>
    <row r="439" spans="3:5" ht="13.2" x14ac:dyDescent="0.25">
      <c r="C439" s="160"/>
      <c r="D439" s="160"/>
      <c r="E439" s="160"/>
    </row>
    <row r="440" spans="3:5" ht="13.2" x14ac:dyDescent="0.25">
      <c r="C440" s="160"/>
      <c r="D440" s="160"/>
      <c r="E440" s="160"/>
    </row>
    <row r="441" spans="3:5" ht="13.2" x14ac:dyDescent="0.25">
      <c r="C441" s="160"/>
      <c r="D441" s="160"/>
      <c r="E441" s="160"/>
    </row>
    <row r="442" spans="3:5" ht="13.2" x14ac:dyDescent="0.25">
      <c r="C442" s="160"/>
      <c r="D442" s="160"/>
      <c r="E442" s="160"/>
    </row>
    <row r="443" spans="3:5" ht="13.2" x14ac:dyDescent="0.25">
      <c r="C443" s="160"/>
      <c r="D443" s="160"/>
      <c r="E443" s="160"/>
    </row>
    <row r="444" spans="3:5" ht="13.2" x14ac:dyDescent="0.25">
      <c r="C444" s="160"/>
      <c r="D444" s="160"/>
      <c r="E444" s="160"/>
    </row>
    <row r="445" spans="3:5" ht="13.2" x14ac:dyDescent="0.25">
      <c r="C445" s="160"/>
      <c r="D445" s="160"/>
      <c r="E445" s="160"/>
    </row>
    <row r="446" spans="3:5" ht="13.2" x14ac:dyDescent="0.25">
      <c r="C446" s="160"/>
      <c r="D446" s="160"/>
      <c r="E446" s="160"/>
    </row>
    <row r="447" spans="3:5" ht="13.2" x14ac:dyDescent="0.25">
      <c r="C447" s="160"/>
      <c r="D447" s="160"/>
      <c r="E447" s="160"/>
    </row>
    <row r="448" spans="3:5" ht="13.2" x14ac:dyDescent="0.25">
      <c r="C448" s="160"/>
      <c r="D448" s="160"/>
      <c r="E448" s="160"/>
    </row>
    <row r="449" spans="3:5" ht="13.2" x14ac:dyDescent="0.25">
      <c r="C449" s="160"/>
      <c r="D449" s="160"/>
      <c r="E449" s="160"/>
    </row>
    <row r="450" spans="3:5" ht="13.2" x14ac:dyDescent="0.25">
      <c r="C450" s="160"/>
      <c r="D450" s="160"/>
      <c r="E450" s="160"/>
    </row>
    <row r="451" spans="3:5" ht="13.2" x14ac:dyDescent="0.25">
      <c r="C451" s="160"/>
      <c r="D451" s="160"/>
      <c r="E451" s="160"/>
    </row>
    <row r="452" spans="3:5" ht="13.2" x14ac:dyDescent="0.25">
      <c r="C452" s="160"/>
      <c r="D452" s="160"/>
      <c r="E452" s="160"/>
    </row>
    <row r="453" spans="3:5" ht="13.2" x14ac:dyDescent="0.25">
      <c r="C453" s="160"/>
      <c r="D453" s="160"/>
      <c r="E453" s="160"/>
    </row>
    <row r="454" spans="3:5" ht="13.2" x14ac:dyDescent="0.25">
      <c r="C454" s="160"/>
      <c r="D454" s="160"/>
      <c r="E454" s="160"/>
    </row>
    <row r="455" spans="3:5" ht="13.2" x14ac:dyDescent="0.25">
      <c r="C455" s="160"/>
      <c r="D455" s="160"/>
      <c r="E455" s="160"/>
    </row>
    <row r="456" spans="3:5" ht="13.2" x14ac:dyDescent="0.25">
      <c r="C456" s="160"/>
      <c r="D456" s="160"/>
      <c r="E456" s="160"/>
    </row>
    <row r="457" spans="3:5" ht="13.2" x14ac:dyDescent="0.25">
      <c r="C457" s="160"/>
      <c r="D457" s="160"/>
      <c r="E457" s="160"/>
    </row>
    <row r="458" spans="3:5" ht="13.2" x14ac:dyDescent="0.25">
      <c r="C458" s="160"/>
      <c r="D458" s="160"/>
      <c r="E458" s="160"/>
    </row>
    <row r="459" spans="3:5" ht="13.2" x14ac:dyDescent="0.25">
      <c r="C459" s="160"/>
      <c r="D459" s="160"/>
      <c r="E459" s="160"/>
    </row>
    <row r="460" spans="3:5" ht="13.2" x14ac:dyDescent="0.25">
      <c r="C460" s="160"/>
      <c r="D460" s="160"/>
      <c r="E460" s="160"/>
    </row>
    <row r="461" spans="3:5" ht="13.2" x14ac:dyDescent="0.25">
      <c r="C461" s="160"/>
      <c r="D461" s="160"/>
      <c r="E461" s="160"/>
    </row>
    <row r="462" spans="3:5" ht="13.2" x14ac:dyDescent="0.25">
      <c r="C462" s="160"/>
      <c r="D462" s="160"/>
      <c r="E462" s="160"/>
    </row>
    <row r="463" spans="3:5" ht="13.2" x14ac:dyDescent="0.25">
      <c r="C463" s="160"/>
      <c r="D463" s="160"/>
      <c r="E463" s="160"/>
    </row>
    <row r="464" spans="3:5" ht="13.2" x14ac:dyDescent="0.25">
      <c r="C464" s="160"/>
      <c r="D464" s="160"/>
      <c r="E464" s="160"/>
    </row>
    <row r="465" spans="3:5" ht="13.2" x14ac:dyDescent="0.25">
      <c r="C465" s="160"/>
      <c r="D465" s="160"/>
      <c r="E465" s="160"/>
    </row>
    <row r="466" spans="3:5" ht="13.2" x14ac:dyDescent="0.25">
      <c r="C466" s="160"/>
      <c r="D466" s="160"/>
      <c r="E466" s="160"/>
    </row>
    <row r="467" spans="3:5" ht="13.2" x14ac:dyDescent="0.25">
      <c r="C467" s="160"/>
      <c r="D467" s="160"/>
      <c r="E467" s="160"/>
    </row>
    <row r="468" spans="3:5" ht="13.2" x14ac:dyDescent="0.25">
      <c r="C468" s="160"/>
      <c r="D468" s="160"/>
      <c r="E468" s="160"/>
    </row>
    <row r="469" spans="3:5" ht="13.2" x14ac:dyDescent="0.25">
      <c r="C469" s="160"/>
      <c r="D469" s="160"/>
      <c r="E469" s="160"/>
    </row>
    <row r="470" spans="3:5" ht="13.2" x14ac:dyDescent="0.25">
      <c r="C470" s="160"/>
      <c r="D470" s="160"/>
      <c r="E470" s="160"/>
    </row>
    <row r="471" spans="3:5" ht="13.2" x14ac:dyDescent="0.25">
      <c r="C471" s="160"/>
      <c r="D471" s="160"/>
      <c r="E471" s="160"/>
    </row>
    <row r="472" spans="3:5" ht="13.2" x14ac:dyDescent="0.25">
      <c r="C472" s="160"/>
      <c r="D472" s="160"/>
      <c r="E472" s="160"/>
    </row>
    <row r="473" spans="3:5" ht="13.2" x14ac:dyDescent="0.25">
      <c r="C473" s="160"/>
      <c r="D473" s="160"/>
      <c r="E473" s="160"/>
    </row>
    <row r="474" spans="3:5" ht="13.2" x14ac:dyDescent="0.25">
      <c r="C474" s="160"/>
      <c r="D474" s="160"/>
      <c r="E474" s="160"/>
    </row>
    <row r="475" spans="3:5" ht="13.2" x14ac:dyDescent="0.25">
      <c r="C475" s="160"/>
      <c r="D475" s="160"/>
      <c r="E475" s="160"/>
    </row>
    <row r="476" spans="3:5" ht="13.2" x14ac:dyDescent="0.25">
      <c r="C476" s="160"/>
      <c r="D476" s="160"/>
      <c r="E476" s="160"/>
    </row>
    <row r="477" spans="3:5" ht="13.2" x14ac:dyDescent="0.25">
      <c r="C477" s="160"/>
      <c r="D477" s="160"/>
      <c r="E477" s="160"/>
    </row>
    <row r="478" spans="3:5" ht="13.2" x14ac:dyDescent="0.25">
      <c r="C478" s="160"/>
      <c r="D478" s="160"/>
      <c r="E478" s="160"/>
    </row>
    <row r="479" spans="3:5" ht="13.2" x14ac:dyDescent="0.25">
      <c r="C479" s="160"/>
      <c r="D479" s="160"/>
      <c r="E479" s="160"/>
    </row>
    <row r="480" spans="3:5" ht="13.2" x14ac:dyDescent="0.25">
      <c r="C480" s="160"/>
      <c r="D480" s="160"/>
      <c r="E480" s="160"/>
    </row>
    <row r="481" spans="3:5" ht="13.2" x14ac:dyDescent="0.25">
      <c r="C481" s="160"/>
      <c r="D481" s="160"/>
      <c r="E481" s="160"/>
    </row>
    <row r="482" spans="3:5" ht="13.2" x14ac:dyDescent="0.25">
      <c r="C482" s="160"/>
      <c r="D482" s="160"/>
      <c r="E482" s="160"/>
    </row>
    <row r="483" spans="3:5" ht="13.2" x14ac:dyDescent="0.25">
      <c r="C483" s="160"/>
      <c r="D483" s="160"/>
      <c r="E483" s="160"/>
    </row>
    <row r="484" spans="3:5" ht="13.2" x14ac:dyDescent="0.25">
      <c r="C484" s="160"/>
      <c r="D484" s="160"/>
      <c r="E484" s="160"/>
    </row>
    <row r="485" spans="3:5" ht="13.2" x14ac:dyDescent="0.25">
      <c r="C485" s="160"/>
      <c r="D485" s="160"/>
      <c r="E485" s="160"/>
    </row>
    <row r="486" spans="3:5" ht="13.2" x14ac:dyDescent="0.25">
      <c r="C486" s="160"/>
      <c r="D486" s="160"/>
      <c r="E486" s="160"/>
    </row>
    <row r="487" spans="3:5" ht="13.2" x14ac:dyDescent="0.25">
      <c r="C487" s="160"/>
      <c r="D487" s="160"/>
      <c r="E487" s="160"/>
    </row>
    <row r="488" spans="3:5" ht="13.2" x14ac:dyDescent="0.25">
      <c r="C488" s="160"/>
      <c r="D488" s="160"/>
      <c r="E488" s="160"/>
    </row>
    <row r="489" spans="3:5" ht="13.2" x14ac:dyDescent="0.25">
      <c r="C489" s="160"/>
      <c r="D489" s="160"/>
      <c r="E489" s="160"/>
    </row>
    <row r="490" spans="3:5" ht="13.2" x14ac:dyDescent="0.25">
      <c r="C490" s="160"/>
      <c r="D490" s="160"/>
      <c r="E490" s="160"/>
    </row>
    <row r="491" spans="3:5" ht="13.2" x14ac:dyDescent="0.25">
      <c r="C491" s="160"/>
      <c r="D491" s="160"/>
      <c r="E491" s="160"/>
    </row>
    <row r="492" spans="3:5" ht="13.2" x14ac:dyDescent="0.25">
      <c r="C492" s="160"/>
      <c r="D492" s="160"/>
      <c r="E492" s="160"/>
    </row>
    <row r="493" spans="3:5" ht="13.2" x14ac:dyDescent="0.25">
      <c r="C493" s="160"/>
      <c r="D493" s="160"/>
      <c r="E493" s="160"/>
    </row>
    <row r="494" spans="3:5" ht="13.2" x14ac:dyDescent="0.25">
      <c r="C494" s="160"/>
      <c r="D494" s="160"/>
      <c r="E494" s="160"/>
    </row>
    <row r="495" spans="3:5" ht="13.2" x14ac:dyDescent="0.25">
      <c r="C495" s="160"/>
      <c r="D495" s="160"/>
      <c r="E495" s="160"/>
    </row>
    <row r="496" spans="3:5" ht="13.2" x14ac:dyDescent="0.25">
      <c r="C496" s="160"/>
      <c r="D496" s="160"/>
      <c r="E496" s="160"/>
    </row>
    <row r="497" spans="3:5" ht="13.2" x14ac:dyDescent="0.25">
      <c r="C497" s="160"/>
      <c r="D497" s="160"/>
      <c r="E497" s="160"/>
    </row>
    <row r="498" spans="3:5" ht="13.2" x14ac:dyDescent="0.25">
      <c r="C498" s="160"/>
      <c r="D498" s="160"/>
      <c r="E498" s="160"/>
    </row>
    <row r="499" spans="3:5" ht="13.2" x14ac:dyDescent="0.25">
      <c r="C499" s="160"/>
      <c r="D499" s="160"/>
      <c r="E499" s="160"/>
    </row>
    <row r="500" spans="3:5" ht="13.2" x14ac:dyDescent="0.25">
      <c r="C500" s="160"/>
      <c r="D500" s="160"/>
      <c r="E500" s="160"/>
    </row>
    <row r="501" spans="3:5" ht="13.2" x14ac:dyDescent="0.25">
      <c r="C501" s="160"/>
      <c r="D501" s="160"/>
      <c r="E501" s="160"/>
    </row>
    <row r="502" spans="3:5" ht="13.2" x14ac:dyDescent="0.25">
      <c r="C502" s="160"/>
      <c r="D502" s="160"/>
      <c r="E502" s="160"/>
    </row>
    <row r="503" spans="3:5" ht="13.2" x14ac:dyDescent="0.25">
      <c r="C503" s="160"/>
      <c r="D503" s="160"/>
      <c r="E503" s="160"/>
    </row>
    <row r="504" spans="3:5" ht="13.2" x14ac:dyDescent="0.25">
      <c r="C504" s="160"/>
      <c r="D504" s="160"/>
      <c r="E504" s="160"/>
    </row>
    <row r="505" spans="3:5" ht="13.2" x14ac:dyDescent="0.25">
      <c r="C505" s="160"/>
      <c r="D505" s="160"/>
      <c r="E505" s="160"/>
    </row>
    <row r="506" spans="3:5" ht="13.2" x14ac:dyDescent="0.25">
      <c r="C506" s="160"/>
      <c r="D506" s="160"/>
      <c r="E506" s="160"/>
    </row>
    <row r="507" spans="3:5" ht="13.2" x14ac:dyDescent="0.25">
      <c r="C507" s="160"/>
      <c r="D507" s="160"/>
      <c r="E507" s="160"/>
    </row>
    <row r="508" spans="3:5" ht="13.2" x14ac:dyDescent="0.25">
      <c r="C508" s="160"/>
      <c r="D508" s="160"/>
      <c r="E508" s="160"/>
    </row>
    <row r="509" spans="3:5" ht="13.2" x14ac:dyDescent="0.25">
      <c r="C509" s="160"/>
      <c r="D509" s="160"/>
      <c r="E509" s="160"/>
    </row>
    <row r="510" spans="3:5" ht="13.2" x14ac:dyDescent="0.25">
      <c r="C510" s="160"/>
      <c r="D510" s="160"/>
      <c r="E510" s="160"/>
    </row>
    <row r="511" spans="3:5" ht="13.2" x14ac:dyDescent="0.25">
      <c r="C511" s="160"/>
      <c r="D511" s="160"/>
      <c r="E511" s="160"/>
    </row>
    <row r="512" spans="3:5" ht="13.2" x14ac:dyDescent="0.25">
      <c r="C512" s="160"/>
      <c r="D512" s="160"/>
      <c r="E512" s="160"/>
    </row>
    <row r="513" spans="3:5" ht="13.2" x14ac:dyDescent="0.25">
      <c r="C513" s="160"/>
      <c r="D513" s="160"/>
      <c r="E513" s="160"/>
    </row>
    <row r="514" spans="3:5" ht="13.2" x14ac:dyDescent="0.25">
      <c r="C514" s="160"/>
      <c r="D514" s="160"/>
      <c r="E514" s="160"/>
    </row>
    <row r="515" spans="3:5" ht="13.2" x14ac:dyDescent="0.25">
      <c r="C515" s="160"/>
      <c r="D515" s="160"/>
      <c r="E515" s="160"/>
    </row>
    <row r="516" spans="3:5" ht="13.2" x14ac:dyDescent="0.25">
      <c r="C516" s="160"/>
      <c r="D516" s="160"/>
      <c r="E516" s="160"/>
    </row>
    <row r="517" spans="3:5" ht="13.2" x14ac:dyDescent="0.25">
      <c r="C517" s="160"/>
      <c r="D517" s="160"/>
      <c r="E517" s="160"/>
    </row>
    <row r="518" spans="3:5" ht="13.2" x14ac:dyDescent="0.25">
      <c r="C518" s="160"/>
      <c r="D518" s="160"/>
      <c r="E518" s="160"/>
    </row>
    <row r="519" spans="3:5" ht="13.2" x14ac:dyDescent="0.25">
      <c r="C519" s="160"/>
      <c r="D519" s="160"/>
      <c r="E519" s="160"/>
    </row>
    <row r="520" spans="3:5" ht="13.2" x14ac:dyDescent="0.25">
      <c r="C520" s="160"/>
      <c r="D520" s="160"/>
      <c r="E520" s="160"/>
    </row>
    <row r="521" spans="3:5" ht="13.2" x14ac:dyDescent="0.25">
      <c r="C521" s="160"/>
      <c r="D521" s="160"/>
      <c r="E521" s="160"/>
    </row>
    <row r="522" spans="3:5" ht="13.2" x14ac:dyDescent="0.25">
      <c r="C522" s="160"/>
      <c r="D522" s="160"/>
      <c r="E522" s="160"/>
    </row>
    <row r="523" spans="3:5" ht="13.2" x14ac:dyDescent="0.25">
      <c r="C523" s="160"/>
      <c r="D523" s="160"/>
      <c r="E523" s="160"/>
    </row>
    <row r="524" spans="3:5" ht="13.2" x14ac:dyDescent="0.25">
      <c r="C524" s="160"/>
      <c r="D524" s="160"/>
      <c r="E524" s="160"/>
    </row>
    <row r="525" spans="3:5" ht="13.2" x14ac:dyDescent="0.25">
      <c r="C525" s="160"/>
      <c r="D525" s="160"/>
      <c r="E525" s="160"/>
    </row>
    <row r="526" spans="3:5" ht="13.2" x14ac:dyDescent="0.25">
      <c r="C526" s="160"/>
      <c r="D526" s="160"/>
      <c r="E526" s="160"/>
    </row>
    <row r="527" spans="3:5" ht="13.2" x14ac:dyDescent="0.25">
      <c r="C527" s="160"/>
      <c r="D527" s="160"/>
      <c r="E527" s="160"/>
    </row>
    <row r="528" spans="3:5" ht="13.2" x14ac:dyDescent="0.25">
      <c r="C528" s="160"/>
      <c r="D528" s="160"/>
      <c r="E528" s="160"/>
    </row>
    <row r="529" spans="3:5" ht="13.2" x14ac:dyDescent="0.25">
      <c r="C529" s="160"/>
      <c r="D529" s="160"/>
      <c r="E529" s="160"/>
    </row>
    <row r="530" spans="3:5" ht="13.2" x14ac:dyDescent="0.25">
      <c r="C530" s="160"/>
      <c r="D530" s="160"/>
      <c r="E530" s="160"/>
    </row>
    <row r="531" spans="3:5" ht="13.2" x14ac:dyDescent="0.25">
      <c r="C531" s="160"/>
      <c r="D531" s="160"/>
      <c r="E531" s="160"/>
    </row>
    <row r="532" spans="3:5" ht="13.2" x14ac:dyDescent="0.25">
      <c r="C532" s="160"/>
      <c r="D532" s="160"/>
      <c r="E532" s="160"/>
    </row>
    <row r="533" spans="3:5" ht="13.2" x14ac:dyDescent="0.25">
      <c r="C533" s="160"/>
      <c r="D533" s="160"/>
      <c r="E533" s="160"/>
    </row>
    <row r="534" spans="3:5" ht="13.2" x14ac:dyDescent="0.25">
      <c r="C534" s="160"/>
      <c r="D534" s="160"/>
      <c r="E534" s="160"/>
    </row>
    <row r="535" spans="3:5" ht="13.2" x14ac:dyDescent="0.25">
      <c r="C535" s="160"/>
      <c r="D535" s="160"/>
      <c r="E535" s="160"/>
    </row>
    <row r="536" spans="3:5" ht="13.2" x14ac:dyDescent="0.25">
      <c r="C536" s="160"/>
      <c r="D536" s="160"/>
      <c r="E536" s="160"/>
    </row>
    <row r="537" spans="3:5" ht="13.2" x14ac:dyDescent="0.25">
      <c r="C537" s="160"/>
      <c r="D537" s="160"/>
      <c r="E537" s="160"/>
    </row>
    <row r="538" spans="3:5" ht="13.2" x14ac:dyDescent="0.25">
      <c r="C538" s="160"/>
      <c r="D538" s="160"/>
      <c r="E538" s="160"/>
    </row>
    <row r="539" spans="3:5" ht="13.2" x14ac:dyDescent="0.25">
      <c r="C539" s="160"/>
      <c r="D539" s="160"/>
      <c r="E539" s="160"/>
    </row>
    <row r="540" spans="3:5" ht="13.2" x14ac:dyDescent="0.25">
      <c r="C540" s="160"/>
      <c r="D540" s="160"/>
      <c r="E540" s="160"/>
    </row>
    <row r="541" spans="3:5" ht="13.2" x14ac:dyDescent="0.25">
      <c r="C541" s="160"/>
      <c r="D541" s="160"/>
      <c r="E541" s="160"/>
    </row>
    <row r="542" spans="3:5" ht="13.2" x14ac:dyDescent="0.25">
      <c r="C542" s="160"/>
      <c r="D542" s="160"/>
      <c r="E542" s="160"/>
    </row>
    <row r="543" spans="3:5" ht="13.2" x14ac:dyDescent="0.25">
      <c r="C543" s="160"/>
      <c r="D543" s="160"/>
      <c r="E543" s="160"/>
    </row>
    <row r="544" spans="3:5" ht="13.2" x14ac:dyDescent="0.25">
      <c r="C544" s="160"/>
      <c r="D544" s="160"/>
      <c r="E544" s="160"/>
    </row>
    <row r="545" spans="3:5" ht="13.2" x14ac:dyDescent="0.25">
      <c r="C545" s="160"/>
      <c r="D545" s="160"/>
      <c r="E545" s="160"/>
    </row>
    <row r="546" spans="3:5" ht="13.2" x14ac:dyDescent="0.25">
      <c r="C546" s="160"/>
      <c r="D546" s="160"/>
      <c r="E546" s="160"/>
    </row>
    <row r="547" spans="3:5" ht="13.2" x14ac:dyDescent="0.25">
      <c r="C547" s="160"/>
      <c r="D547" s="160"/>
      <c r="E547" s="160"/>
    </row>
    <row r="548" spans="3:5" ht="13.2" x14ac:dyDescent="0.25">
      <c r="C548" s="160"/>
      <c r="D548" s="160"/>
      <c r="E548" s="160"/>
    </row>
    <row r="549" spans="3:5" ht="13.2" x14ac:dyDescent="0.25">
      <c r="C549" s="160"/>
      <c r="D549" s="160"/>
      <c r="E549" s="160"/>
    </row>
    <row r="550" spans="3:5" ht="13.2" x14ac:dyDescent="0.25">
      <c r="C550" s="160"/>
      <c r="D550" s="160"/>
      <c r="E550" s="160"/>
    </row>
    <row r="551" spans="3:5" ht="13.2" x14ac:dyDescent="0.25">
      <c r="C551" s="160"/>
      <c r="D551" s="160"/>
      <c r="E551" s="160"/>
    </row>
    <row r="552" spans="3:5" ht="13.2" x14ac:dyDescent="0.25">
      <c r="C552" s="160"/>
      <c r="D552" s="160"/>
      <c r="E552" s="160"/>
    </row>
    <row r="553" spans="3:5" ht="13.2" x14ac:dyDescent="0.25">
      <c r="C553" s="160"/>
      <c r="D553" s="160"/>
      <c r="E553" s="160"/>
    </row>
    <row r="554" spans="3:5" ht="13.2" x14ac:dyDescent="0.25">
      <c r="C554" s="160"/>
      <c r="D554" s="160"/>
      <c r="E554" s="160"/>
    </row>
    <row r="555" spans="3:5" ht="13.2" x14ac:dyDescent="0.25">
      <c r="C555" s="160"/>
      <c r="D555" s="160"/>
      <c r="E555" s="160"/>
    </row>
    <row r="556" spans="3:5" ht="13.2" x14ac:dyDescent="0.25">
      <c r="C556" s="160"/>
      <c r="D556" s="160"/>
      <c r="E556" s="160"/>
    </row>
    <row r="557" spans="3:5" ht="13.2" x14ac:dyDescent="0.25">
      <c r="C557" s="160"/>
      <c r="D557" s="160"/>
      <c r="E557" s="160"/>
    </row>
    <row r="558" spans="3:5" ht="13.2" x14ac:dyDescent="0.25">
      <c r="C558" s="160"/>
      <c r="D558" s="160"/>
      <c r="E558" s="160"/>
    </row>
    <row r="559" spans="3:5" ht="13.2" x14ac:dyDescent="0.25">
      <c r="C559" s="160"/>
      <c r="D559" s="160"/>
      <c r="E559" s="160"/>
    </row>
    <row r="560" spans="3:5" ht="13.2" x14ac:dyDescent="0.25">
      <c r="C560" s="160"/>
      <c r="D560" s="160"/>
      <c r="E560" s="160"/>
    </row>
    <row r="561" spans="3:5" ht="13.2" x14ac:dyDescent="0.25">
      <c r="C561" s="160"/>
      <c r="D561" s="160"/>
      <c r="E561" s="160"/>
    </row>
    <row r="562" spans="3:5" ht="13.2" x14ac:dyDescent="0.25">
      <c r="C562" s="160"/>
      <c r="D562" s="160"/>
      <c r="E562" s="160"/>
    </row>
    <row r="563" spans="3:5" ht="13.2" x14ac:dyDescent="0.25">
      <c r="C563" s="160"/>
      <c r="D563" s="160"/>
      <c r="E563" s="160"/>
    </row>
    <row r="564" spans="3:5" ht="13.2" x14ac:dyDescent="0.25">
      <c r="C564" s="160"/>
      <c r="D564" s="160"/>
      <c r="E564" s="160"/>
    </row>
    <row r="565" spans="3:5" ht="13.2" x14ac:dyDescent="0.25">
      <c r="C565" s="160"/>
      <c r="D565" s="160"/>
      <c r="E565" s="160"/>
    </row>
    <row r="566" spans="3:5" ht="13.2" x14ac:dyDescent="0.25">
      <c r="C566" s="160"/>
      <c r="D566" s="160"/>
      <c r="E566" s="160"/>
    </row>
    <row r="567" spans="3:5" ht="13.2" x14ac:dyDescent="0.25">
      <c r="C567" s="160"/>
      <c r="D567" s="160"/>
      <c r="E567" s="160"/>
    </row>
    <row r="568" spans="3:5" ht="13.2" x14ac:dyDescent="0.25">
      <c r="C568" s="160"/>
      <c r="D568" s="160"/>
      <c r="E568" s="160"/>
    </row>
    <row r="569" spans="3:5" ht="13.2" x14ac:dyDescent="0.25">
      <c r="C569" s="160"/>
      <c r="D569" s="160"/>
      <c r="E569" s="160"/>
    </row>
    <row r="570" spans="3:5" ht="13.2" x14ac:dyDescent="0.25">
      <c r="C570" s="160"/>
      <c r="D570" s="160"/>
      <c r="E570" s="160"/>
    </row>
    <row r="571" spans="3:5" ht="13.2" x14ac:dyDescent="0.25">
      <c r="C571" s="160"/>
      <c r="D571" s="160"/>
      <c r="E571" s="160"/>
    </row>
    <row r="572" spans="3:5" ht="13.2" x14ac:dyDescent="0.25">
      <c r="C572" s="160"/>
      <c r="D572" s="160"/>
      <c r="E572" s="160"/>
    </row>
    <row r="573" spans="3:5" ht="13.2" x14ac:dyDescent="0.25">
      <c r="C573" s="160"/>
      <c r="D573" s="160"/>
      <c r="E573" s="160"/>
    </row>
    <row r="574" spans="3:5" ht="13.2" x14ac:dyDescent="0.25">
      <c r="C574" s="160"/>
      <c r="D574" s="160"/>
      <c r="E574" s="160"/>
    </row>
    <row r="575" spans="3:5" ht="13.2" x14ac:dyDescent="0.25">
      <c r="C575" s="160"/>
      <c r="D575" s="160"/>
      <c r="E575" s="160"/>
    </row>
    <row r="576" spans="3:5" ht="13.2" x14ac:dyDescent="0.25">
      <c r="C576" s="160"/>
      <c r="D576" s="160"/>
      <c r="E576" s="160"/>
    </row>
    <row r="577" spans="3:5" ht="13.2" x14ac:dyDescent="0.25">
      <c r="C577" s="160"/>
      <c r="D577" s="160"/>
      <c r="E577" s="160"/>
    </row>
    <row r="578" spans="3:5" ht="13.2" x14ac:dyDescent="0.25">
      <c r="C578" s="160"/>
      <c r="D578" s="160"/>
      <c r="E578" s="160"/>
    </row>
    <row r="579" spans="3:5" ht="13.2" x14ac:dyDescent="0.25">
      <c r="C579" s="160"/>
      <c r="D579" s="160"/>
      <c r="E579" s="160"/>
    </row>
    <row r="580" spans="3:5" ht="13.2" x14ac:dyDescent="0.25">
      <c r="C580" s="160"/>
      <c r="D580" s="160"/>
      <c r="E580" s="160"/>
    </row>
    <row r="581" spans="3:5" ht="13.2" x14ac:dyDescent="0.25">
      <c r="C581" s="160"/>
      <c r="D581" s="160"/>
      <c r="E581" s="160"/>
    </row>
    <row r="582" spans="3:5" ht="13.2" x14ac:dyDescent="0.25">
      <c r="C582" s="160"/>
      <c r="D582" s="160"/>
      <c r="E582" s="160"/>
    </row>
    <row r="583" spans="3:5" ht="13.2" x14ac:dyDescent="0.25">
      <c r="C583" s="160"/>
      <c r="D583" s="160"/>
      <c r="E583" s="160"/>
    </row>
    <row r="584" spans="3:5" ht="13.2" x14ac:dyDescent="0.25">
      <c r="C584" s="160"/>
      <c r="D584" s="160"/>
      <c r="E584" s="160"/>
    </row>
    <row r="585" spans="3:5" ht="13.2" x14ac:dyDescent="0.25">
      <c r="C585" s="160"/>
      <c r="D585" s="160"/>
      <c r="E585" s="160"/>
    </row>
    <row r="586" spans="3:5" ht="13.2" x14ac:dyDescent="0.25">
      <c r="C586" s="160"/>
      <c r="D586" s="160"/>
      <c r="E586" s="160"/>
    </row>
    <row r="587" spans="3:5" ht="13.2" x14ac:dyDescent="0.25">
      <c r="C587" s="160"/>
      <c r="D587" s="160"/>
      <c r="E587" s="160"/>
    </row>
    <row r="588" spans="3:5" ht="13.2" x14ac:dyDescent="0.25">
      <c r="C588" s="160"/>
      <c r="D588" s="160"/>
      <c r="E588" s="160"/>
    </row>
    <row r="589" spans="3:5" ht="13.2" x14ac:dyDescent="0.25">
      <c r="C589" s="160"/>
      <c r="D589" s="160"/>
      <c r="E589" s="160"/>
    </row>
    <row r="590" spans="3:5" ht="13.2" x14ac:dyDescent="0.25">
      <c r="C590" s="160"/>
      <c r="D590" s="160"/>
      <c r="E590" s="160"/>
    </row>
    <row r="591" spans="3:5" ht="13.2" x14ac:dyDescent="0.25">
      <c r="C591" s="160"/>
      <c r="D591" s="160"/>
      <c r="E591" s="160"/>
    </row>
    <row r="592" spans="3:5" ht="13.2" x14ac:dyDescent="0.25">
      <c r="C592" s="160"/>
      <c r="D592" s="160"/>
      <c r="E592" s="160"/>
    </row>
    <row r="593" spans="3:5" ht="13.2" x14ac:dyDescent="0.25">
      <c r="C593" s="160"/>
      <c r="D593" s="160"/>
      <c r="E593" s="160"/>
    </row>
    <row r="594" spans="3:5" ht="13.2" x14ac:dyDescent="0.25">
      <c r="C594" s="160"/>
      <c r="D594" s="160"/>
      <c r="E594" s="160"/>
    </row>
    <row r="595" spans="3:5" ht="13.2" x14ac:dyDescent="0.25">
      <c r="C595" s="160"/>
      <c r="D595" s="160"/>
      <c r="E595" s="160"/>
    </row>
    <row r="596" spans="3:5" ht="13.2" x14ac:dyDescent="0.25">
      <c r="C596" s="160"/>
      <c r="D596" s="160"/>
      <c r="E596" s="160"/>
    </row>
    <row r="597" spans="3:5" ht="13.2" x14ac:dyDescent="0.25">
      <c r="C597" s="160"/>
      <c r="D597" s="160"/>
      <c r="E597" s="160"/>
    </row>
    <row r="598" spans="3:5" ht="13.2" x14ac:dyDescent="0.25">
      <c r="C598" s="160"/>
      <c r="D598" s="160"/>
      <c r="E598" s="160"/>
    </row>
    <row r="599" spans="3:5" ht="13.2" x14ac:dyDescent="0.25">
      <c r="C599" s="160"/>
      <c r="D599" s="160"/>
      <c r="E599" s="160"/>
    </row>
    <row r="600" spans="3:5" ht="13.2" x14ac:dyDescent="0.25">
      <c r="C600" s="160"/>
      <c r="D600" s="160"/>
      <c r="E600" s="160"/>
    </row>
    <row r="601" spans="3:5" ht="13.2" x14ac:dyDescent="0.25">
      <c r="C601" s="160"/>
      <c r="D601" s="160"/>
      <c r="E601" s="160"/>
    </row>
    <row r="602" spans="3:5" ht="13.2" x14ac:dyDescent="0.25">
      <c r="C602" s="160"/>
      <c r="D602" s="160"/>
      <c r="E602" s="160"/>
    </row>
    <row r="603" spans="3:5" ht="13.2" x14ac:dyDescent="0.25">
      <c r="C603" s="160"/>
      <c r="D603" s="160"/>
      <c r="E603" s="160"/>
    </row>
    <row r="604" spans="3:5" ht="13.2" x14ac:dyDescent="0.25">
      <c r="C604" s="160"/>
      <c r="D604" s="160"/>
      <c r="E604" s="160"/>
    </row>
    <row r="605" spans="3:5" ht="13.2" x14ac:dyDescent="0.25">
      <c r="C605" s="160"/>
      <c r="D605" s="160"/>
      <c r="E605" s="160"/>
    </row>
    <row r="606" spans="3:5" ht="13.2" x14ac:dyDescent="0.25">
      <c r="C606" s="160"/>
      <c r="D606" s="160"/>
      <c r="E606" s="160"/>
    </row>
    <row r="607" spans="3:5" ht="13.2" x14ac:dyDescent="0.25">
      <c r="C607" s="160"/>
      <c r="D607" s="160"/>
      <c r="E607" s="160"/>
    </row>
    <row r="608" spans="3:5" ht="13.2" x14ac:dyDescent="0.25">
      <c r="C608" s="160"/>
      <c r="D608" s="160"/>
      <c r="E608" s="160"/>
    </row>
    <row r="609" spans="3:5" ht="13.2" x14ac:dyDescent="0.25">
      <c r="C609" s="160"/>
      <c r="D609" s="160"/>
      <c r="E609" s="160"/>
    </row>
    <row r="610" spans="3:5" ht="13.2" x14ac:dyDescent="0.25">
      <c r="C610" s="160"/>
      <c r="D610" s="160"/>
      <c r="E610" s="160"/>
    </row>
    <row r="611" spans="3:5" ht="13.2" x14ac:dyDescent="0.25">
      <c r="C611" s="160"/>
      <c r="D611" s="160"/>
      <c r="E611" s="160"/>
    </row>
    <row r="612" spans="3:5" ht="13.2" x14ac:dyDescent="0.25">
      <c r="C612" s="160"/>
      <c r="D612" s="160"/>
      <c r="E612" s="160"/>
    </row>
    <row r="613" spans="3:5" ht="13.2" x14ac:dyDescent="0.25">
      <c r="C613" s="160"/>
      <c r="D613" s="160"/>
      <c r="E613" s="160"/>
    </row>
    <row r="614" spans="3:5" ht="13.2" x14ac:dyDescent="0.25">
      <c r="C614" s="160"/>
      <c r="D614" s="160"/>
      <c r="E614" s="160"/>
    </row>
    <row r="615" spans="3:5" ht="13.2" x14ac:dyDescent="0.25">
      <c r="C615" s="160"/>
      <c r="D615" s="160"/>
      <c r="E615" s="160"/>
    </row>
    <row r="616" spans="3:5" ht="13.2" x14ac:dyDescent="0.25">
      <c r="C616" s="160"/>
      <c r="D616" s="160"/>
      <c r="E616" s="160"/>
    </row>
    <row r="617" spans="3:5" ht="13.2" x14ac:dyDescent="0.25">
      <c r="C617" s="160"/>
      <c r="D617" s="160"/>
      <c r="E617" s="160"/>
    </row>
    <row r="618" spans="3:5" ht="13.2" x14ac:dyDescent="0.25">
      <c r="C618" s="160"/>
      <c r="D618" s="160"/>
      <c r="E618" s="160"/>
    </row>
    <row r="619" spans="3:5" ht="13.2" x14ac:dyDescent="0.25">
      <c r="C619" s="160"/>
      <c r="D619" s="160"/>
      <c r="E619" s="160"/>
    </row>
    <row r="620" spans="3:5" ht="13.2" x14ac:dyDescent="0.25">
      <c r="C620" s="160"/>
      <c r="D620" s="160"/>
      <c r="E620" s="160"/>
    </row>
    <row r="621" spans="3:5" ht="13.2" x14ac:dyDescent="0.25">
      <c r="C621" s="160"/>
      <c r="D621" s="160"/>
      <c r="E621" s="160"/>
    </row>
    <row r="622" spans="3:5" ht="13.2" x14ac:dyDescent="0.25">
      <c r="C622" s="160"/>
      <c r="D622" s="160"/>
      <c r="E622" s="160"/>
    </row>
    <row r="623" spans="3:5" ht="13.2" x14ac:dyDescent="0.25">
      <c r="C623" s="160"/>
      <c r="D623" s="160"/>
      <c r="E623" s="160"/>
    </row>
    <row r="624" spans="3:5" ht="13.2" x14ac:dyDescent="0.25">
      <c r="C624" s="160"/>
      <c r="D624" s="160"/>
      <c r="E624" s="160"/>
    </row>
    <row r="625" spans="3:5" ht="13.2" x14ac:dyDescent="0.25">
      <c r="C625" s="160"/>
      <c r="D625" s="160"/>
      <c r="E625" s="160"/>
    </row>
    <row r="626" spans="3:5" ht="13.2" x14ac:dyDescent="0.25">
      <c r="C626" s="160"/>
      <c r="D626" s="160"/>
      <c r="E626" s="160"/>
    </row>
    <row r="627" spans="3:5" ht="13.2" x14ac:dyDescent="0.25">
      <c r="C627" s="160"/>
      <c r="D627" s="160"/>
      <c r="E627" s="160"/>
    </row>
    <row r="628" spans="3:5" ht="13.2" x14ac:dyDescent="0.25">
      <c r="C628" s="160"/>
      <c r="D628" s="160"/>
      <c r="E628" s="160"/>
    </row>
    <row r="629" spans="3:5" ht="13.2" x14ac:dyDescent="0.25">
      <c r="C629" s="160"/>
      <c r="D629" s="160"/>
      <c r="E629" s="160"/>
    </row>
    <row r="630" spans="3:5" ht="13.2" x14ac:dyDescent="0.25">
      <c r="C630" s="160"/>
      <c r="D630" s="160"/>
      <c r="E630" s="160"/>
    </row>
    <row r="631" spans="3:5" ht="13.2" x14ac:dyDescent="0.25">
      <c r="C631" s="160"/>
      <c r="D631" s="160"/>
      <c r="E631" s="160"/>
    </row>
    <row r="632" spans="3:5" ht="13.2" x14ac:dyDescent="0.25">
      <c r="C632" s="160"/>
      <c r="D632" s="160"/>
      <c r="E632" s="160"/>
    </row>
    <row r="633" spans="3:5" ht="13.2" x14ac:dyDescent="0.25">
      <c r="C633" s="160"/>
      <c r="D633" s="160"/>
      <c r="E633" s="160"/>
    </row>
    <row r="634" spans="3:5" ht="13.2" x14ac:dyDescent="0.25">
      <c r="C634" s="160"/>
      <c r="D634" s="160"/>
      <c r="E634" s="160"/>
    </row>
    <row r="635" spans="3:5" ht="13.2" x14ac:dyDescent="0.25">
      <c r="C635" s="160"/>
      <c r="D635" s="160"/>
      <c r="E635" s="160"/>
    </row>
    <row r="636" spans="3:5" ht="13.2" x14ac:dyDescent="0.25">
      <c r="C636" s="160"/>
      <c r="D636" s="160"/>
      <c r="E636" s="160"/>
    </row>
    <row r="637" spans="3:5" ht="13.2" x14ac:dyDescent="0.25">
      <c r="C637" s="160"/>
      <c r="D637" s="160"/>
      <c r="E637" s="160"/>
    </row>
    <row r="638" spans="3:5" ht="13.2" x14ac:dyDescent="0.25">
      <c r="C638" s="160"/>
      <c r="D638" s="160"/>
      <c r="E638" s="160"/>
    </row>
    <row r="639" spans="3:5" ht="13.2" x14ac:dyDescent="0.25">
      <c r="C639" s="160"/>
      <c r="D639" s="160"/>
      <c r="E639" s="160"/>
    </row>
    <row r="640" spans="3:5" ht="13.2" x14ac:dyDescent="0.25">
      <c r="C640" s="160"/>
      <c r="D640" s="160"/>
      <c r="E640" s="160"/>
    </row>
    <row r="641" spans="3:5" ht="13.2" x14ac:dyDescent="0.25">
      <c r="C641" s="160"/>
      <c r="D641" s="160"/>
      <c r="E641" s="160"/>
    </row>
    <row r="642" spans="3:5" ht="13.2" x14ac:dyDescent="0.25">
      <c r="C642" s="160"/>
      <c r="D642" s="160"/>
      <c r="E642" s="160"/>
    </row>
    <row r="643" spans="3:5" ht="13.2" x14ac:dyDescent="0.25">
      <c r="C643" s="160"/>
      <c r="D643" s="160"/>
      <c r="E643" s="160"/>
    </row>
    <row r="644" spans="3:5" ht="13.2" x14ac:dyDescent="0.25">
      <c r="C644" s="160"/>
      <c r="D644" s="160"/>
      <c r="E644" s="160"/>
    </row>
    <row r="645" spans="3:5" ht="13.2" x14ac:dyDescent="0.25">
      <c r="C645" s="160"/>
      <c r="D645" s="160"/>
      <c r="E645" s="160"/>
    </row>
    <row r="646" spans="3:5" ht="13.2" x14ac:dyDescent="0.25">
      <c r="C646" s="160"/>
      <c r="D646" s="160"/>
      <c r="E646" s="160"/>
    </row>
    <row r="647" spans="3:5" ht="13.2" x14ac:dyDescent="0.25">
      <c r="C647" s="160"/>
      <c r="D647" s="160"/>
      <c r="E647" s="160"/>
    </row>
    <row r="648" spans="3:5" ht="13.2" x14ac:dyDescent="0.25">
      <c r="C648" s="160"/>
      <c r="D648" s="160"/>
      <c r="E648" s="160"/>
    </row>
    <row r="649" spans="3:5" ht="13.2" x14ac:dyDescent="0.25">
      <c r="C649" s="160"/>
      <c r="D649" s="160"/>
      <c r="E649" s="160"/>
    </row>
    <row r="650" spans="3:5" ht="13.2" x14ac:dyDescent="0.25">
      <c r="C650" s="160"/>
      <c r="D650" s="160"/>
      <c r="E650" s="160"/>
    </row>
    <row r="651" spans="3:5" ht="13.2" x14ac:dyDescent="0.25">
      <c r="C651" s="160"/>
      <c r="D651" s="160"/>
      <c r="E651" s="160"/>
    </row>
    <row r="652" spans="3:5" ht="13.2" x14ac:dyDescent="0.25">
      <c r="C652" s="160"/>
      <c r="D652" s="160"/>
      <c r="E652" s="160"/>
    </row>
    <row r="653" spans="3:5" ht="13.2" x14ac:dyDescent="0.25">
      <c r="C653" s="160"/>
      <c r="D653" s="160"/>
      <c r="E653" s="160"/>
    </row>
    <row r="654" spans="3:5" ht="13.2" x14ac:dyDescent="0.25">
      <c r="C654" s="160"/>
      <c r="D654" s="160"/>
      <c r="E654" s="160"/>
    </row>
    <row r="655" spans="3:5" ht="13.2" x14ac:dyDescent="0.25">
      <c r="C655" s="160"/>
      <c r="D655" s="160"/>
      <c r="E655" s="160"/>
    </row>
    <row r="656" spans="3:5" ht="13.2" x14ac:dyDescent="0.25">
      <c r="C656" s="160"/>
      <c r="D656" s="160"/>
      <c r="E656" s="160"/>
    </row>
    <row r="657" spans="3:5" ht="13.2" x14ac:dyDescent="0.25">
      <c r="C657" s="160"/>
      <c r="D657" s="160"/>
      <c r="E657" s="160"/>
    </row>
    <row r="658" spans="3:5" ht="13.2" x14ac:dyDescent="0.25">
      <c r="C658" s="160"/>
      <c r="D658" s="160"/>
      <c r="E658" s="160"/>
    </row>
    <row r="659" spans="3:5" ht="13.2" x14ac:dyDescent="0.25">
      <c r="C659" s="160"/>
      <c r="D659" s="160"/>
      <c r="E659" s="160"/>
    </row>
    <row r="660" spans="3:5" ht="13.2" x14ac:dyDescent="0.25">
      <c r="C660" s="160"/>
      <c r="D660" s="160"/>
      <c r="E660" s="160"/>
    </row>
    <row r="661" spans="3:5" ht="13.2" x14ac:dyDescent="0.25">
      <c r="C661" s="160"/>
      <c r="D661" s="160"/>
      <c r="E661" s="160"/>
    </row>
    <row r="662" spans="3:5" ht="13.2" x14ac:dyDescent="0.25">
      <c r="C662" s="160"/>
      <c r="D662" s="160"/>
      <c r="E662" s="160"/>
    </row>
    <row r="663" spans="3:5" ht="13.2" x14ac:dyDescent="0.25">
      <c r="C663" s="160"/>
      <c r="D663" s="160"/>
      <c r="E663" s="160"/>
    </row>
    <row r="664" spans="3:5" ht="13.2" x14ac:dyDescent="0.25">
      <c r="C664" s="160"/>
      <c r="D664" s="160"/>
      <c r="E664" s="160"/>
    </row>
    <row r="665" spans="3:5" ht="13.2" x14ac:dyDescent="0.25">
      <c r="C665" s="160"/>
      <c r="D665" s="160"/>
      <c r="E665" s="160"/>
    </row>
    <row r="666" spans="3:5" ht="13.2" x14ac:dyDescent="0.25">
      <c r="C666" s="160"/>
      <c r="D666" s="160"/>
      <c r="E666" s="160"/>
    </row>
    <row r="667" spans="3:5" ht="13.2" x14ac:dyDescent="0.25">
      <c r="C667" s="160"/>
      <c r="D667" s="160"/>
      <c r="E667" s="160"/>
    </row>
    <row r="668" spans="3:5" ht="13.2" x14ac:dyDescent="0.25">
      <c r="C668" s="160"/>
      <c r="D668" s="160"/>
      <c r="E668" s="160"/>
    </row>
    <row r="669" spans="3:5" ht="13.2" x14ac:dyDescent="0.25">
      <c r="C669" s="160"/>
      <c r="D669" s="160"/>
      <c r="E669" s="160"/>
    </row>
    <row r="670" spans="3:5" ht="13.2" x14ac:dyDescent="0.25">
      <c r="C670" s="160"/>
      <c r="D670" s="160"/>
      <c r="E670" s="160"/>
    </row>
    <row r="671" spans="3:5" ht="13.2" x14ac:dyDescent="0.25">
      <c r="C671" s="160"/>
      <c r="D671" s="160"/>
      <c r="E671" s="160"/>
    </row>
    <row r="672" spans="3:5" ht="13.2" x14ac:dyDescent="0.25">
      <c r="C672" s="160"/>
      <c r="D672" s="160"/>
      <c r="E672" s="160"/>
    </row>
    <row r="673" spans="3:5" ht="13.2" x14ac:dyDescent="0.25">
      <c r="C673" s="160"/>
      <c r="D673" s="160"/>
      <c r="E673" s="160"/>
    </row>
    <row r="674" spans="3:5" ht="13.2" x14ac:dyDescent="0.25">
      <c r="C674" s="160"/>
      <c r="D674" s="160"/>
      <c r="E674" s="160"/>
    </row>
    <row r="675" spans="3:5" ht="13.2" x14ac:dyDescent="0.25">
      <c r="C675" s="160"/>
      <c r="D675" s="160"/>
      <c r="E675" s="160"/>
    </row>
    <row r="676" spans="3:5" ht="13.2" x14ac:dyDescent="0.25">
      <c r="C676" s="160"/>
      <c r="D676" s="160"/>
      <c r="E676" s="160"/>
    </row>
    <row r="677" spans="3:5" ht="13.2" x14ac:dyDescent="0.25">
      <c r="C677" s="160"/>
      <c r="D677" s="160"/>
      <c r="E677" s="160"/>
    </row>
    <row r="678" spans="3:5" ht="13.2" x14ac:dyDescent="0.25">
      <c r="C678" s="160"/>
      <c r="D678" s="160"/>
      <c r="E678" s="160"/>
    </row>
    <row r="679" spans="3:5" ht="13.2" x14ac:dyDescent="0.25">
      <c r="C679" s="160"/>
      <c r="D679" s="160"/>
      <c r="E679" s="160"/>
    </row>
    <row r="680" spans="3:5" ht="13.2" x14ac:dyDescent="0.25">
      <c r="C680" s="160"/>
      <c r="D680" s="160"/>
      <c r="E680" s="160"/>
    </row>
    <row r="681" spans="3:5" ht="13.2" x14ac:dyDescent="0.25">
      <c r="C681" s="160"/>
      <c r="D681" s="160"/>
      <c r="E681" s="160"/>
    </row>
    <row r="682" spans="3:5" ht="13.2" x14ac:dyDescent="0.25">
      <c r="C682" s="160"/>
      <c r="D682" s="160"/>
      <c r="E682" s="160"/>
    </row>
    <row r="683" spans="3:5" ht="13.2" x14ac:dyDescent="0.25">
      <c r="C683" s="160"/>
      <c r="D683" s="160"/>
      <c r="E683" s="160"/>
    </row>
    <row r="684" spans="3:5" ht="13.2" x14ac:dyDescent="0.25">
      <c r="C684" s="160"/>
      <c r="D684" s="160"/>
      <c r="E684" s="160"/>
    </row>
    <row r="685" spans="3:5" ht="13.2" x14ac:dyDescent="0.25">
      <c r="C685" s="160"/>
      <c r="D685" s="160"/>
      <c r="E685" s="160"/>
    </row>
    <row r="686" spans="3:5" ht="13.2" x14ac:dyDescent="0.25">
      <c r="C686" s="160"/>
      <c r="D686" s="160"/>
      <c r="E686" s="160"/>
    </row>
    <row r="687" spans="3:5" ht="13.2" x14ac:dyDescent="0.25">
      <c r="C687" s="160"/>
      <c r="D687" s="160"/>
      <c r="E687" s="160"/>
    </row>
    <row r="688" spans="3:5" ht="13.2" x14ac:dyDescent="0.25">
      <c r="C688" s="160"/>
      <c r="D688" s="160"/>
      <c r="E688" s="160"/>
    </row>
    <row r="689" spans="3:5" ht="13.2" x14ac:dyDescent="0.25">
      <c r="C689" s="160"/>
      <c r="D689" s="160"/>
      <c r="E689" s="160"/>
    </row>
    <row r="690" spans="3:5" ht="13.2" x14ac:dyDescent="0.25">
      <c r="C690" s="160"/>
      <c r="D690" s="160"/>
      <c r="E690" s="160"/>
    </row>
    <row r="691" spans="3:5" ht="13.2" x14ac:dyDescent="0.25">
      <c r="C691" s="160"/>
      <c r="D691" s="160"/>
      <c r="E691" s="160"/>
    </row>
    <row r="692" spans="3:5" ht="13.2" x14ac:dyDescent="0.25">
      <c r="C692" s="160"/>
      <c r="D692" s="160"/>
      <c r="E692" s="160"/>
    </row>
    <row r="693" spans="3:5" ht="13.2" x14ac:dyDescent="0.25">
      <c r="C693" s="160"/>
      <c r="D693" s="160"/>
      <c r="E693" s="160"/>
    </row>
    <row r="694" spans="3:5" ht="13.2" x14ac:dyDescent="0.25">
      <c r="C694" s="160"/>
      <c r="D694" s="160"/>
      <c r="E694" s="160"/>
    </row>
    <row r="695" spans="3:5" ht="13.2" x14ac:dyDescent="0.25">
      <c r="C695" s="160"/>
      <c r="D695" s="160"/>
      <c r="E695" s="160"/>
    </row>
    <row r="696" spans="3:5" ht="13.2" x14ac:dyDescent="0.25">
      <c r="C696" s="160"/>
      <c r="D696" s="160"/>
      <c r="E696" s="160"/>
    </row>
    <row r="697" spans="3:5" ht="13.2" x14ac:dyDescent="0.25">
      <c r="C697" s="160"/>
      <c r="D697" s="160"/>
      <c r="E697" s="160"/>
    </row>
    <row r="698" spans="3:5" ht="13.2" x14ac:dyDescent="0.25">
      <c r="C698" s="160"/>
      <c r="D698" s="160"/>
      <c r="E698" s="160"/>
    </row>
    <row r="699" spans="3:5" ht="13.2" x14ac:dyDescent="0.25">
      <c r="C699" s="160"/>
      <c r="D699" s="160"/>
      <c r="E699" s="160"/>
    </row>
    <row r="700" spans="3:5" ht="13.2" x14ac:dyDescent="0.25">
      <c r="C700" s="160"/>
      <c r="D700" s="160"/>
      <c r="E700" s="160"/>
    </row>
    <row r="701" spans="3:5" ht="13.2" x14ac:dyDescent="0.25">
      <c r="C701" s="160"/>
      <c r="D701" s="160"/>
      <c r="E701" s="160"/>
    </row>
    <row r="702" spans="3:5" ht="13.2" x14ac:dyDescent="0.25">
      <c r="C702" s="160"/>
      <c r="D702" s="160"/>
      <c r="E702" s="160"/>
    </row>
    <row r="703" spans="3:5" ht="13.2" x14ac:dyDescent="0.25">
      <c r="C703" s="160"/>
      <c r="D703" s="160"/>
      <c r="E703" s="160"/>
    </row>
    <row r="704" spans="3:5" ht="13.2" x14ac:dyDescent="0.25">
      <c r="C704" s="160"/>
      <c r="D704" s="160"/>
      <c r="E704" s="160"/>
    </row>
    <row r="705" spans="3:5" ht="13.2" x14ac:dyDescent="0.25">
      <c r="C705" s="160"/>
      <c r="D705" s="160"/>
      <c r="E705" s="160"/>
    </row>
    <row r="706" spans="3:5" ht="13.2" x14ac:dyDescent="0.25">
      <c r="C706" s="160"/>
      <c r="D706" s="160"/>
      <c r="E706" s="160"/>
    </row>
    <row r="707" spans="3:5" ht="13.2" x14ac:dyDescent="0.25">
      <c r="C707" s="160"/>
      <c r="D707" s="160"/>
      <c r="E707" s="160"/>
    </row>
    <row r="708" spans="3:5" ht="13.2" x14ac:dyDescent="0.25">
      <c r="C708" s="160"/>
      <c r="D708" s="160"/>
      <c r="E708" s="160"/>
    </row>
    <row r="709" spans="3:5" ht="13.2" x14ac:dyDescent="0.25">
      <c r="C709" s="160"/>
      <c r="D709" s="160"/>
      <c r="E709" s="160"/>
    </row>
    <row r="710" spans="3:5" ht="13.2" x14ac:dyDescent="0.25">
      <c r="C710" s="160"/>
      <c r="D710" s="160"/>
      <c r="E710" s="160"/>
    </row>
    <row r="711" spans="3:5" ht="13.2" x14ac:dyDescent="0.25">
      <c r="C711" s="160"/>
      <c r="D711" s="160"/>
      <c r="E711" s="160"/>
    </row>
    <row r="712" spans="3:5" ht="13.2" x14ac:dyDescent="0.25">
      <c r="C712" s="160"/>
      <c r="D712" s="160"/>
      <c r="E712" s="160"/>
    </row>
    <row r="713" spans="3:5" ht="13.2" x14ac:dyDescent="0.25">
      <c r="C713" s="160"/>
      <c r="D713" s="160"/>
      <c r="E713" s="160"/>
    </row>
    <row r="714" spans="3:5" ht="13.2" x14ac:dyDescent="0.25">
      <c r="C714" s="160"/>
      <c r="D714" s="160"/>
      <c r="E714" s="160"/>
    </row>
    <row r="715" spans="3:5" ht="13.2" x14ac:dyDescent="0.25">
      <c r="C715" s="160"/>
      <c r="D715" s="160"/>
      <c r="E715" s="160"/>
    </row>
    <row r="716" spans="3:5" ht="13.2" x14ac:dyDescent="0.25">
      <c r="C716" s="160"/>
      <c r="D716" s="160"/>
      <c r="E716" s="160"/>
    </row>
    <row r="717" spans="3:5" ht="13.2" x14ac:dyDescent="0.25">
      <c r="C717" s="160"/>
      <c r="D717" s="160"/>
      <c r="E717" s="160"/>
    </row>
    <row r="718" spans="3:5" ht="13.2" x14ac:dyDescent="0.25">
      <c r="C718" s="160"/>
      <c r="D718" s="160"/>
      <c r="E718" s="160"/>
    </row>
    <row r="719" spans="3:5" ht="13.2" x14ac:dyDescent="0.25">
      <c r="C719" s="160"/>
      <c r="D719" s="160"/>
      <c r="E719" s="160"/>
    </row>
    <row r="720" spans="3:5" ht="13.2" x14ac:dyDescent="0.25">
      <c r="C720" s="160"/>
      <c r="D720" s="160"/>
      <c r="E720" s="160"/>
    </row>
    <row r="721" spans="3:5" ht="13.2" x14ac:dyDescent="0.25">
      <c r="C721" s="160"/>
      <c r="D721" s="160"/>
      <c r="E721" s="160"/>
    </row>
    <row r="722" spans="3:5" ht="13.2" x14ac:dyDescent="0.25">
      <c r="C722" s="160"/>
      <c r="D722" s="160"/>
      <c r="E722" s="160"/>
    </row>
    <row r="723" spans="3:5" ht="13.2" x14ac:dyDescent="0.25">
      <c r="C723" s="160"/>
      <c r="D723" s="160"/>
      <c r="E723" s="160"/>
    </row>
    <row r="724" spans="3:5" ht="13.2" x14ac:dyDescent="0.25">
      <c r="C724" s="160"/>
      <c r="D724" s="160"/>
      <c r="E724" s="160"/>
    </row>
    <row r="725" spans="3:5" ht="13.2" x14ac:dyDescent="0.25">
      <c r="C725" s="160"/>
      <c r="D725" s="160"/>
      <c r="E725" s="160"/>
    </row>
    <row r="726" spans="3:5" ht="13.2" x14ac:dyDescent="0.25">
      <c r="C726" s="160"/>
      <c r="D726" s="160"/>
      <c r="E726" s="160"/>
    </row>
    <row r="727" spans="3:5" ht="13.2" x14ac:dyDescent="0.25">
      <c r="C727" s="160"/>
      <c r="D727" s="160"/>
      <c r="E727" s="160"/>
    </row>
    <row r="728" spans="3:5" ht="13.2" x14ac:dyDescent="0.25">
      <c r="C728" s="160"/>
      <c r="D728" s="160"/>
      <c r="E728" s="160"/>
    </row>
    <row r="729" spans="3:5" ht="13.2" x14ac:dyDescent="0.25">
      <c r="C729" s="160"/>
      <c r="D729" s="160"/>
      <c r="E729" s="160"/>
    </row>
    <row r="730" spans="3:5" ht="13.2" x14ac:dyDescent="0.25">
      <c r="C730" s="160"/>
      <c r="D730" s="160"/>
      <c r="E730" s="160"/>
    </row>
    <row r="731" spans="3:5" ht="13.2" x14ac:dyDescent="0.25">
      <c r="C731" s="160"/>
      <c r="D731" s="160"/>
      <c r="E731" s="160"/>
    </row>
    <row r="732" spans="3:5" ht="13.2" x14ac:dyDescent="0.25">
      <c r="C732" s="160"/>
      <c r="D732" s="160"/>
      <c r="E732" s="160"/>
    </row>
    <row r="733" spans="3:5" ht="13.2" x14ac:dyDescent="0.25">
      <c r="C733" s="160"/>
      <c r="D733" s="160"/>
      <c r="E733" s="160"/>
    </row>
    <row r="734" spans="3:5" ht="13.2" x14ac:dyDescent="0.25">
      <c r="C734" s="160"/>
      <c r="D734" s="160"/>
      <c r="E734" s="160"/>
    </row>
    <row r="735" spans="3:5" ht="13.2" x14ac:dyDescent="0.25">
      <c r="C735" s="160"/>
      <c r="D735" s="160"/>
      <c r="E735" s="160"/>
    </row>
    <row r="736" spans="3:5" ht="13.2" x14ac:dyDescent="0.25">
      <c r="C736" s="160"/>
      <c r="D736" s="160"/>
      <c r="E736" s="160"/>
    </row>
    <row r="737" spans="3:5" ht="13.2" x14ac:dyDescent="0.25">
      <c r="C737" s="160"/>
      <c r="D737" s="160"/>
      <c r="E737" s="160"/>
    </row>
    <row r="738" spans="3:5" ht="13.2" x14ac:dyDescent="0.25">
      <c r="C738" s="160"/>
      <c r="D738" s="160"/>
      <c r="E738" s="160"/>
    </row>
    <row r="739" spans="3:5" ht="13.2" x14ac:dyDescent="0.25">
      <c r="C739" s="160"/>
      <c r="D739" s="160"/>
      <c r="E739" s="160"/>
    </row>
    <row r="740" spans="3:5" ht="13.2" x14ac:dyDescent="0.25">
      <c r="C740" s="160"/>
      <c r="D740" s="160"/>
      <c r="E740" s="160"/>
    </row>
    <row r="741" spans="3:5" ht="13.2" x14ac:dyDescent="0.25">
      <c r="C741" s="160"/>
      <c r="D741" s="160"/>
      <c r="E741" s="160"/>
    </row>
    <row r="742" spans="3:5" ht="13.2" x14ac:dyDescent="0.25">
      <c r="C742" s="160"/>
      <c r="D742" s="160"/>
      <c r="E742" s="160"/>
    </row>
    <row r="743" spans="3:5" ht="13.2" x14ac:dyDescent="0.25">
      <c r="C743" s="160"/>
      <c r="D743" s="160"/>
      <c r="E743" s="160"/>
    </row>
    <row r="744" spans="3:5" ht="13.2" x14ac:dyDescent="0.25">
      <c r="C744" s="160"/>
      <c r="D744" s="160"/>
      <c r="E744" s="160"/>
    </row>
    <row r="745" spans="3:5" ht="13.2" x14ac:dyDescent="0.25">
      <c r="C745" s="160"/>
      <c r="D745" s="160"/>
      <c r="E745" s="160"/>
    </row>
    <row r="746" spans="3:5" ht="13.2" x14ac:dyDescent="0.25">
      <c r="C746" s="160"/>
      <c r="D746" s="160"/>
      <c r="E746" s="160"/>
    </row>
    <row r="747" spans="3:5" ht="13.2" x14ac:dyDescent="0.25">
      <c r="C747" s="160"/>
      <c r="D747" s="160"/>
      <c r="E747" s="160"/>
    </row>
    <row r="748" spans="3:5" ht="13.2" x14ac:dyDescent="0.25">
      <c r="C748" s="160"/>
      <c r="D748" s="160"/>
      <c r="E748" s="160"/>
    </row>
    <row r="749" spans="3:5" ht="13.2" x14ac:dyDescent="0.25">
      <c r="C749" s="160"/>
      <c r="D749" s="160"/>
      <c r="E749" s="160"/>
    </row>
    <row r="750" spans="3:5" ht="13.2" x14ac:dyDescent="0.25">
      <c r="C750" s="160"/>
      <c r="D750" s="160"/>
      <c r="E750" s="160"/>
    </row>
    <row r="751" spans="3:5" ht="13.2" x14ac:dyDescent="0.25">
      <c r="C751" s="160"/>
      <c r="D751" s="160"/>
      <c r="E751" s="160"/>
    </row>
    <row r="752" spans="3:5" ht="13.2" x14ac:dyDescent="0.25">
      <c r="C752" s="160"/>
      <c r="D752" s="160"/>
      <c r="E752" s="160"/>
    </row>
    <row r="753" spans="3:5" ht="13.2" x14ac:dyDescent="0.25">
      <c r="C753" s="160"/>
      <c r="D753" s="160"/>
      <c r="E753" s="160"/>
    </row>
    <row r="754" spans="3:5" ht="13.2" x14ac:dyDescent="0.25">
      <c r="C754" s="160"/>
      <c r="D754" s="160"/>
      <c r="E754" s="160"/>
    </row>
    <row r="755" spans="3:5" ht="13.2" x14ac:dyDescent="0.25">
      <c r="C755" s="160"/>
      <c r="D755" s="160"/>
      <c r="E755" s="160"/>
    </row>
    <row r="756" spans="3:5" ht="13.2" x14ac:dyDescent="0.25">
      <c r="C756" s="160"/>
      <c r="D756" s="160"/>
      <c r="E756" s="160"/>
    </row>
    <row r="757" spans="3:5" ht="13.2" x14ac:dyDescent="0.25">
      <c r="C757" s="160"/>
      <c r="D757" s="160"/>
      <c r="E757" s="160"/>
    </row>
    <row r="758" spans="3:5" ht="13.2" x14ac:dyDescent="0.25">
      <c r="C758" s="160"/>
      <c r="D758" s="160"/>
      <c r="E758" s="160"/>
    </row>
    <row r="759" spans="3:5" ht="13.2" x14ac:dyDescent="0.25">
      <c r="C759" s="160"/>
      <c r="D759" s="160"/>
      <c r="E759" s="160"/>
    </row>
    <row r="760" spans="3:5" ht="13.2" x14ac:dyDescent="0.25">
      <c r="C760" s="160"/>
      <c r="D760" s="160"/>
      <c r="E760" s="160"/>
    </row>
    <row r="761" spans="3:5" ht="13.2" x14ac:dyDescent="0.25">
      <c r="C761" s="160"/>
      <c r="D761" s="160"/>
      <c r="E761" s="160"/>
    </row>
    <row r="762" spans="3:5" ht="13.2" x14ac:dyDescent="0.25">
      <c r="C762" s="160"/>
      <c r="D762" s="160"/>
      <c r="E762" s="160"/>
    </row>
    <row r="763" spans="3:5" ht="13.2" x14ac:dyDescent="0.25">
      <c r="C763" s="160"/>
      <c r="D763" s="160"/>
      <c r="E763" s="160"/>
    </row>
    <row r="764" spans="3:5" ht="13.2" x14ac:dyDescent="0.25">
      <c r="C764" s="160"/>
      <c r="D764" s="160"/>
      <c r="E764" s="160"/>
    </row>
    <row r="765" spans="3:5" ht="13.2" x14ac:dyDescent="0.25">
      <c r="C765" s="160"/>
      <c r="D765" s="160"/>
      <c r="E765" s="160"/>
    </row>
    <row r="766" spans="3:5" ht="13.2" x14ac:dyDescent="0.25">
      <c r="C766" s="160"/>
      <c r="D766" s="160"/>
      <c r="E766" s="160"/>
    </row>
    <row r="767" spans="3:5" ht="13.2" x14ac:dyDescent="0.25">
      <c r="C767" s="160"/>
      <c r="D767" s="160"/>
      <c r="E767" s="160"/>
    </row>
    <row r="768" spans="3:5" ht="13.2" x14ac:dyDescent="0.25">
      <c r="C768" s="160"/>
      <c r="D768" s="160"/>
      <c r="E768" s="160"/>
    </row>
    <row r="769" spans="3:5" ht="13.2" x14ac:dyDescent="0.25">
      <c r="C769" s="160"/>
      <c r="D769" s="160"/>
      <c r="E769" s="160"/>
    </row>
    <row r="770" spans="3:5" ht="13.2" x14ac:dyDescent="0.25">
      <c r="C770" s="160"/>
      <c r="D770" s="160"/>
      <c r="E770" s="160"/>
    </row>
    <row r="771" spans="3:5" ht="13.2" x14ac:dyDescent="0.25">
      <c r="C771" s="160"/>
      <c r="D771" s="160"/>
      <c r="E771" s="160"/>
    </row>
    <row r="772" spans="3:5" ht="13.2" x14ac:dyDescent="0.25">
      <c r="C772" s="160"/>
      <c r="D772" s="160"/>
      <c r="E772" s="160"/>
    </row>
    <row r="773" spans="3:5" ht="13.2" x14ac:dyDescent="0.25">
      <c r="C773" s="160"/>
      <c r="D773" s="160"/>
      <c r="E773" s="160"/>
    </row>
    <row r="774" spans="3:5" ht="13.2" x14ac:dyDescent="0.25">
      <c r="C774" s="160"/>
      <c r="D774" s="160"/>
      <c r="E774" s="160"/>
    </row>
    <row r="775" spans="3:5" ht="13.2" x14ac:dyDescent="0.25">
      <c r="C775" s="160"/>
      <c r="D775" s="160"/>
      <c r="E775" s="160"/>
    </row>
    <row r="776" spans="3:5" ht="13.2" x14ac:dyDescent="0.25">
      <c r="C776" s="160"/>
      <c r="D776" s="160"/>
      <c r="E776" s="160"/>
    </row>
    <row r="777" spans="3:5" ht="13.2" x14ac:dyDescent="0.25">
      <c r="C777" s="160"/>
      <c r="D777" s="160"/>
      <c r="E777" s="160"/>
    </row>
    <row r="778" spans="3:5" ht="13.2" x14ac:dyDescent="0.25">
      <c r="C778" s="160"/>
      <c r="D778" s="160"/>
      <c r="E778" s="160"/>
    </row>
    <row r="779" spans="3:5" ht="13.2" x14ac:dyDescent="0.25">
      <c r="C779" s="160"/>
      <c r="D779" s="160"/>
      <c r="E779" s="160"/>
    </row>
    <row r="780" spans="3:5" ht="13.2" x14ac:dyDescent="0.25">
      <c r="C780" s="160"/>
      <c r="D780" s="160"/>
      <c r="E780" s="160"/>
    </row>
    <row r="781" spans="3:5" ht="13.2" x14ac:dyDescent="0.25">
      <c r="C781" s="160"/>
      <c r="D781" s="160"/>
      <c r="E781" s="160"/>
    </row>
    <row r="782" spans="3:5" ht="13.2" x14ac:dyDescent="0.25">
      <c r="C782" s="160"/>
      <c r="D782" s="160"/>
      <c r="E782" s="160"/>
    </row>
    <row r="783" spans="3:5" ht="13.2" x14ac:dyDescent="0.25">
      <c r="C783" s="160"/>
      <c r="D783" s="160"/>
      <c r="E783" s="160"/>
    </row>
    <row r="784" spans="3:5" ht="13.2" x14ac:dyDescent="0.25">
      <c r="C784" s="160"/>
      <c r="D784" s="160"/>
      <c r="E784" s="160"/>
    </row>
    <row r="785" spans="3:5" ht="13.2" x14ac:dyDescent="0.25">
      <c r="C785" s="160"/>
      <c r="D785" s="160"/>
      <c r="E785" s="160"/>
    </row>
    <row r="786" spans="3:5" ht="13.2" x14ac:dyDescent="0.25">
      <c r="C786" s="160"/>
      <c r="D786" s="160"/>
      <c r="E786" s="160"/>
    </row>
    <row r="787" spans="3:5" ht="13.2" x14ac:dyDescent="0.25">
      <c r="C787" s="160"/>
      <c r="D787" s="160"/>
      <c r="E787" s="160"/>
    </row>
    <row r="788" spans="3:5" ht="13.2" x14ac:dyDescent="0.25">
      <c r="C788" s="160"/>
      <c r="D788" s="160"/>
      <c r="E788" s="160"/>
    </row>
    <row r="789" spans="3:5" ht="13.2" x14ac:dyDescent="0.25">
      <c r="C789" s="160"/>
      <c r="D789" s="160"/>
      <c r="E789" s="160"/>
    </row>
    <row r="790" spans="3:5" ht="13.2" x14ac:dyDescent="0.25">
      <c r="C790" s="160"/>
      <c r="D790" s="160"/>
      <c r="E790" s="160"/>
    </row>
    <row r="791" spans="3:5" ht="13.2" x14ac:dyDescent="0.25">
      <c r="C791" s="160"/>
      <c r="D791" s="160"/>
      <c r="E791" s="160"/>
    </row>
    <row r="792" spans="3:5" ht="13.2" x14ac:dyDescent="0.25">
      <c r="C792" s="160"/>
      <c r="D792" s="160"/>
      <c r="E792" s="160"/>
    </row>
    <row r="793" spans="3:5" ht="13.2" x14ac:dyDescent="0.25">
      <c r="C793" s="160"/>
      <c r="D793" s="160"/>
      <c r="E793" s="160"/>
    </row>
    <row r="794" spans="3:5" ht="13.2" x14ac:dyDescent="0.25">
      <c r="C794" s="160"/>
      <c r="D794" s="160"/>
      <c r="E794" s="160"/>
    </row>
    <row r="795" spans="3:5" ht="13.2" x14ac:dyDescent="0.25">
      <c r="C795" s="160"/>
      <c r="D795" s="160"/>
      <c r="E795" s="160"/>
    </row>
    <row r="796" spans="3:5" ht="13.2" x14ac:dyDescent="0.25">
      <c r="C796" s="160"/>
      <c r="D796" s="160"/>
      <c r="E796" s="160"/>
    </row>
    <row r="797" spans="3:5" ht="13.2" x14ac:dyDescent="0.25">
      <c r="C797" s="160"/>
      <c r="D797" s="160"/>
      <c r="E797" s="160"/>
    </row>
    <row r="798" spans="3:5" ht="13.2" x14ac:dyDescent="0.25">
      <c r="C798" s="160"/>
      <c r="D798" s="160"/>
      <c r="E798" s="160"/>
    </row>
    <row r="799" spans="3:5" ht="13.2" x14ac:dyDescent="0.25">
      <c r="C799" s="160"/>
      <c r="D799" s="160"/>
      <c r="E799" s="160"/>
    </row>
    <row r="800" spans="3:5" ht="13.2" x14ac:dyDescent="0.25">
      <c r="C800" s="160"/>
      <c r="D800" s="160"/>
      <c r="E800" s="160"/>
    </row>
    <row r="801" spans="3:5" ht="13.2" x14ac:dyDescent="0.25">
      <c r="C801" s="160"/>
      <c r="D801" s="160"/>
      <c r="E801" s="160"/>
    </row>
    <row r="802" spans="3:5" ht="13.2" x14ac:dyDescent="0.25">
      <c r="C802" s="160"/>
      <c r="D802" s="160"/>
      <c r="E802" s="160"/>
    </row>
    <row r="803" spans="3:5" ht="13.2" x14ac:dyDescent="0.25">
      <c r="C803" s="160"/>
      <c r="D803" s="160"/>
      <c r="E803" s="160"/>
    </row>
    <row r="804" spans="3:5" ht="13.2" x14ac:dyDescent="0.25">
      <c r="C804" s="160"/>
      <c r="D804" s="160"/>
      <c r="E804" s="160"/>
    </row>
    <row r="805" spans="3:5" ht="13.2" x14ac:dyDescent="0.25">
      <c r="C805" s="160"/>
      <c r="D805" s="160"/>
      <c r="E805" s="160"/>
    </row>
    <row r="806" spans="3:5" ht="13.2" x14ac:dyDescent="0.25">
      <c r="C806" s="160"/>
      <c r="D806" s="160"/>
      <c r="E806" s="160"/>
    </row>
    <row r="807" spans="3:5" ht="13.2" x14ac:dyDescent="0.25">
      <c r="C807" s="160"/>
      <c r="D807" s="160"/>
      <c r="E807" s="160"/>
    </row>
    <row r="808" spans="3:5" ht="13.2" x14ac:dyDescent="0.25">
      <c r="C808" s="160"/>
      <c r="D808" s="160"/>
      <c r="E808" s="160"/>
    </row>
    <row r="809" spans="3:5" ht="13.2" x14ac:dyDescent="0.25">
      <c r="C809" s="160"/>
      <c r="D809" s="160"/>
      <c r="E809" s="160"/>
    </row>
    <row r="810" spans="3:5" ht="13.2" x14ac:dyDescent="0.25">
      <c r="C810" s="160"/>
      <c r="D810" s="160"/>
      <c r="E810" s="160"/>
    </row>
    <row r="811" spans="3:5" ht="13.2" x14ac:dyDescent="0.25">
      <c r="C811" s="160"/>
      <c r="D811" s="160"/>
      <c r="E811" s="160"/>
    </row>
    <row r="812" spans="3:5" ht="13.2" x14ac:dyDescent="0.25">
      <c r="C812" s="160"/>
      <c r="D812" s="160"/>
      <c r="E812" s="160"/>
    </row>
    <row r="813" spans="3:5" ht="13.2" x14ac:dyDescent="0.25">
      <c r="C813" s="160"/>
      <c r="D813" s="160"/>
      <c r="E813" s="160"/>
    </row>
    <row r="814" spans="3:5" ht="13.2" x14ac:dyDescent="0.25">
      <c r="C814" s="160"/>
      <c r="D814" s="160"/>
      <c r="E814" s="160"/>
    </row>
    <row r="815" spans="3:5" ht="13.2" x14ac:dyDescent="0.25">
      <c r="C815" s="160"/>
      <c r="D815" s="160"/>
      <c r="E815" s="160"/>
    </row>
    <row r="816" spans="3:5" ht="13.2" x14ac:dyDescent="0.25">
      <c r="C816" s="160"/>
      <c r="D816" s="160"/>
      <c r="E816" s="160"/>
    </row>
    <row r="817" spans="3:5" ht="13.2" x14ac:dyDescent="0.25">
      <c r="C817" s="160"/>
      <c r="D817" s="160"/>
      <c r="E817" s="160"/>
    </row>
    <row r="818" spans="3:5" ht="13.2" x14ac:dyDescent="0.25">
      <c r="C818" s="160"/>
      <c r="D818" s="160"/>
      <c r="E818" s="160"/>
    </row>
    <row r="819" spans="3:5" ht="13.2" x14ac:dyDescent="0.25">
      <c r="C819" s="160"/>
      <c r="D819" s="160"/>
      <c r="E819" s="160"/>
    </row>
    <row r="820" spans="3:5" ht="13.2" x14ac:dyDescent="0.25">
      <c r="C820" s="160"/>
      <c r="D820" s="160"/>
      <c r="E820" s="160"/>
    </row>
    <row r="821" spans="3:5" ht="13.2" x14ac:dyDescent="0.25">
      <c r="C821" s="160"/>
      <c r="D821" s="160"/>
      <c r="E821" s="160"/>
    </row>
    <row r="822" spans="3:5" ht="13.2" x14ac:dyDescent="0.25">
      <c r="C822" s="160"/>
      <c r="D822" s="160"/>
      <c r="E822" s="160"/>
    </row>
    <row r="823" spans="3:5" ht="13.2" x14ac:dyDescent="0.25">
      <c r="C823" s="160"/>
      <c r="D823" s="160"/>
      <c r="E823" s="160"/>
    </row>
    <row r="824" spans="3:5" ht="13.2" x14ac:dyDescent="0.25">
      <c r="C824" s="160"/>
      <c r="D824" s="160"/>
      <c r="E824" s="160"/>
    </row>
    <row r="825" spans="3:5" ht="13.2" x14ac:dyDescent="0.25">
      <c r="C825" s="160"/>
      <c r="D825" s="160"/>
      <c r="E825" s="160"/>
    </row>
    <row r="826" spans="3:5" ht="13.2" x14ac:dyDescent="0.25">
      <c r="C826" s="160"/>
      <c r="D826" s="160"/>
      <c r="E826" s="160"/>
    </row>
    <row r="827" spans="3:5" ht="13.2" x14ac:dyDescent="0.25">
      <c r="C827" s="160"/>
      <c r="D827" s="160"/>
      <c r="E827" s="160"/>
    </row>
    <row r="828" spans="3:5" ht="13.2" x14ac:dyDescent="0.25">
      <c r="C828" s="160"/>
      <c r="D828" s="160"/>
      <c r="E828" s="160"/>
    </row>
    <row r="829" spans="3:5" ht="13.2" x14ac:dyDescent="0.25">
      <c r="C829" s="160"/>
      <c r="D829" s="160"/>
      <c r="E829" s="160"/>
    </row>
    <row r="830" spans="3:5" ht="13.2" x14ac:dyDescent="0.25">
      <c r="C830" s="160"/>
      <c r="D830" s="160"/>
      <c r="E830" s="160"/>
    </row>
    <row r="831" spans="3:5" ht="13.2" x14ac:dyDescent="0.25">
      <c r="C831" s="160"/>
      <c r="D831" s="160"/>
      <c r="E831" s="160"/>
    </row>
    <row r="832" spans="3:5" ht="13.2" x14ac:dyDescent="0.25">
      <c r="C832" s="160"/>
      <c r="D832" s="160"/>
      <c r="E832" s="160"/>
    </row>
    <row r="833" spans="3:5" ht="13.2" x14ac:dyDescent="0.25">
      <c r="C833" s="160"/>
      <c r="D833" s="160"/>
      <c r="E833" s="160"/>
    </row>
    <row r="834" spans="3:5" ht="13.2" x14ac:dyDescent="0.25">
      <c r="C834" s="160"/>
      <c r="D834" s="160"/>
      <c r="E834" s="160"/>
    </row>
    <row r="835" spans="3:5" ht="13.2" x14ac:dyDescent="0.25">
      <c r="C835" s="160"/>
      <c r="D835" s="160"/>
      <c r="E835" s="160"/>
    </row>
    <row r="836" spans="3:5" ht="13.2" x14ac:dyDescent="0.25">
      <c r="C836" s="160"/>
      <c r="D836" s="160"/>
      <c r="E836" s="160"/>
    </row>
    <row r="837" spans="3:5" ht="13.2" x14ac:dyDescent="0.25">
      <c r="C837" s="160"/>
      <c r="D837" s="160"/>
      <c r="E837" s="160"/>
    </row>
    <row r="838" spans="3:5" ht="13.2" x14ac:dyDescent="0.25">
      <c r="C838" s="160"/>
      <c r="D838" s="160"/>
      <c r="E838" s="160"/>
    </row>
    <row r="839" spans="3:5" ht="13.2" x14ac:dyDescent="0.25">
      <c r="C839" s="160"/>
      <c r="D839" s="160"/>
      <c r="E839" s="160"/>
    </row>
    <row r="840" spans="3:5" ht="13.2" x14ac:dyDescent="0.25">
      <c r="C840" s="160"/>
      <c r="D840" s="160"/>
      <c r="E840" s="160"/>
    </row>
    <row r="841" spans="3:5" ht="13.2" x14ac:dyDescent="0.25">
      <c r="C841" s="160"/>
      <c r="D841" s="160"/>
      <c r="E841" s="160"/>
    </row>
    <row r="842" spans="3:5" ht="13.2" x14ac:dyDescent="0.25">
      <c r="C842" s="160"/>
      <c r="D842" s="160"/>
      <c r="E842" s="160"/>
    </row>
    <row r="843" spans="3:5" ht="13.2" x14ac:dyDescent="0.25">
      <c r="C843" s="160"/>
      <c r="D843" s="160"/>
      <c r="E843" s="160"/>
    </row>
    <row r="844" spans="3:5" ht="13.2" x14ac:dyDescent="0.25">
      <c r="C844" s="160"/>
      <c r="D844" s="160"/>
      <c r="E844" s="160"/>
    </row>
    <row r="845" spans="3:5" ht="13.2" x14ac:dyDescent="0.25">
      <c r="C845" s="160"/>
      <c r="D845" s="160"/>
      <c r="E845" s="160"/>
    </row>
    <row r="846" spans="3:5" ht="13.2" x14ac:dyDescent="0.25">
      <c r="C846" s="160"/>
      <c r="D846" s="160"/>
      <c r="E846" s="160"/>
    </row>
    <row r="847" spans="3:5" ht="13.2" x14ac:dyDescent="0.25">
      <c r="C847" s="160"/>
      <c r="D847" s="160"/>
      <c r="E847" s="160"/>
    </row>
    <row r="848" spans="3:5" ht="13.2" x14ac:dyDescent="0.25">
      <c r="C848" s="160"/>
      <c r="D848" s="160"/>
      <c r="E848" s="160"/>
    </row>
    <row r="849" spans="3:5" ht="13.2" x14ac:dyDescent="0.25">
      <c r="C849" s="160"/>
      <c r="D849" s="160"/>
      <c r="E849" s="160"/>
    </row>
    <row r="850" spans="3:5" ht="13.2" x14ac:dyDescent="0.25">
      <c r="C850" s="160"/>
      <c r="D850" s="160"/>
      <c r="E850" s="160"/>
    </row>
    <row r="851" spans="3:5" ht="13.2" x14ac:dyDescent="0.25">
      <c r="C851" s="160"/>
      <c r="D851" s="160"/>
      <c r="E851" s="160"/>
    </row>
    <row r="852" spans="3:5" ht="13.2" x14ac:dyDescent="0.25">
      <c r="C852" s="160"/>
      <c r="D852" s="160"/>
      <c r="E852" s="160"/>
    </row>
    <row r="853" spans="3:5" ht="13.2" x14ac:dyDescent="0.25">
      <c r="C853" s="160"/>
      <c r="D853" s="160"/>
      <c r="E853" s="160"/>
    </row>
    <row r="854" spans="3:5" ht="13.2" x14ac:dyDescent="0.25">
      <c r="C854" s="160"/>
      <c r="D854" s="160"/>
      <c r="E854" s="160"/>
    </row>
    <row r="855" spans="3:5" ht="13.2" x14ac:dyDescent="0.25">
      <c r="C855" s="160"/>
      <c r="D855" s="160"/>
      <c r="E855" s="160"/>
    </row>
    <row r="856" spans="3:5" ht="13.2" x14ac:dyDescent="0.25">
      <c r="C856" s="160"/>
      <c r="D856" s="160"/>
      <c r="E856" s="160"/>
    </row>
    <row r="857" spans="3:5" ht="13.2" x14ac:dyDescent="0.25">
      <c r="C857" s="160"/>
      <c r="D857" s="160"/>
      <c r="E857" s="160"/>
    </row>
    <row r="858" spans="3:5" ht="13.2" x14ac:dyDescent="0.25">
      <c r="C858" s="160"/>
      <c r="D858" s="160"/>
      <c r="E858" s="160"/>
    </row>
    <row r="859" spans="3:5" ht="13.2" x14ac:dyDescent="0.25">
      <c r="C859" s="160"/>
      <c r="D859" s="160"/>
      <c r="E859" s="160"/>
    </row>
    <row r="860" spans="3:5" ht="13.2" x14ac:dyDescent="0.25">
      <c r="C860" s="160"/>
      <c r="D860" s="160"/>
      <c r="E860" s="160"/>
    </row>
    <row r="861" spans="3:5" ht="13.2" x14ac:dyDescent="0.25">
      <c r="C861" s="160"/>
      <c r="D861" s="160"/>
      <c r="E861" s="160"/>
    </row>
    <row r="862" spans="3:5" ht="13.2" x14ac:dyDescent="0.25">
      <c r="C862" s="160"/>
      <c r="D862" s="160"/>
      <c r="E862" s="160"/>
    </row>
    <row r="863" spans="3:5" ht="13.2" x14ac:dyDescent="0.25">
      <c r="C863" s="160"/>
      <c r="D863" s="160"/>
      <c r="E863" s="160"/>
    </row>
    <row r="864" spans="3:5" ht="13.2" x14ac:dyDescent="0.25">
      <c r="C864" s="160"/>
      <c r="D864" s="160"/>
      <c r="E864" s="160"/>
    </row>
    <row r="865" spans="3:5" ht="13.2" x14ac:dyDescent="0.25">
      <c r="C865" s="160"/>
      <c r="D865" s="160"/>
      <c r="E865" s="160"/>
    </row>
    <row r="866" spans="3:5" ht="13.2" x14ac:dyDescent="0.25">
      <c r="C866" s="160"/>
      <c r="D866" s="160"/>
      <c r="E866" s="160"/>
    </row>
    <row r="867" spans="3:5" ht="13.2" x14ac:dyDescent="0.25">
      <c r="C867" s="160"/>
      <c r="D867" s="160"/>
      <c r="E867" s="160"/>
    </row>
    <row r="868" spans="3:5" ht="13.2" x14ac:dyDescent="0.25">
      <c r="C868" s="160"/>
      <c r="D868" s="160"/>
      <c r="E868" s="160"/>
    </row>
    <row r="869" spans="3:5" ht="13.2" x14ac:dyDescent="0.25">
      <c r="C869" s="160"/>
      <c r="D869" s="160"/>
      <c r="E869" s="160"/>
    </row>
    <row r="870" spans="3:5" ht="13.2" x14ac:dyDescent="0.25">
      <c r="C870" s="160"/>
      <c r="D870" s="160"/>
      <c r="E870" s="160"/>
    </row>
    <row r="871" spans="3:5" ht="13.2" x14ac:dyDescent="0.25">
      <c r="C871" s="160"/>
      <c r="D871" s="160"/>
      <c r="E871" s="160"/>
    </row>
    <row r="872" spans="3:5" ht="13.2" x14ac:dyDescent="0.25">
      <c r="C872" s="160"/>
      <c r="D872" s="160"/>
      <c r="E872" s="160"/>
    </row>
    <row r="873" spans="3:5" ht="13.2" x14ac:dyDescent="0.25">
      <c r="C873" s="160"/>
      <c r="D873" s="160"/>
      <c r="E873" s="160"/>
    </row>
    <row r="874" spans="3:5" ht="13.2" x14ac:dyDescent="0.25">
      <c r="C874" s="160"/>
      <c r="D874" s="160"/>
      <c r="E874" s="160"/>
    </row>
    <row r="875" spans="3:5" ht="13.2" x14ac:dyDescent="0.25">
      <c r="C875" s="160"/>
      <c r="D875" s="160"/>
      <c r="E875" s="160"/>
    </row>
    <row r="876" spans="3:5" ht="13.2" x14ac:dyDescent="0.25">
      <c r="C876" s="160"/>
      <c r="D876" s="160"/>
      <c r="E876" s="160"/>
    </row>
    <row r="877" spans="3:5" ht="13.2" x14ac:dyDescent="0.25">
      <c r="C877" s="160"/>
      <c r="D877" s="160"/>
      <c r="E877" s="160"/>
    </row>
    <row r="878" spans="3:5" ht="13.2" x14ac:dyDescent="0.25">
      <c r="C878" s="160"/>
      <c r="D878" s="160"/>
      <c r="E878" s="160"/>
    </row>
    <row r="879" spans="3:5" ht="13.2" x14ac:dyDescent="0.25">
      <c r="C879" s="160"/>
      <c r="D879" s="160"/>
      <c r="E879" s="160"/>
    </row>
    <row r="880" spans="3:5" ht="13.2" x14ac:dyDescent="0.25">
      <c r="C880" s="160"/>
      <c r="D880" s="160"/>
      <c r="E880" s="160"/>
    </row>
    <row r="881" spans="3:5" ht="13.2" x14ac:dyDescent="0.25">
      <c r="C881" s="160"/>
      <c r="D881" s="160"/>
      <c r="E881" s="160"/>
    </row>
    <row r="882" spans="3:5" ht="13.2" x14ac:dyDescent="0.25">
      <c r="C882" s="160"/>
      <c r="D882" s="160"/>
      <c r="E882" s="160"/>
    </row>
    <row r="883" spans="3:5" ht="13.2" x14ac:dyDescent="0.25">
      <c r="C883" s="160"/>
      <c r="D883" s="160"/>
      <c r="E883" s="160"/>
    </row>
    <row r="884" spans="3:5" ht="13.2" x14ac:dyDescent="0.25">
      <c r="C884" s="160"/>
      <c r="D884" s="160"/>
      <c r="E884" s="160"/>
    </row>
    <row r="885" spans="3:5" ht="13.2" x14ac:dyDescent="0.25">
      <c r="C885" s="160"/>
      <c r="D885" s="160"/>
      <c r="E885" s="160"/>
    </row>
    <row r="886" spans="3:5" ht="13.2" x14ac:dyDescent="0.25">
      <c r="C886" s="160"/>
      <c r="D886" s="160"/>
      <c r="E886" s="160"/>
    </row>
    <row r="887" spans="3:5" ht="13.2" x14ac:dyDescent="0.25">
      <c r="C887" s="160"/>
      <c r="D887" s="160"/>
      <c r="E887" s="160"/>
    </row>
    <row r="888" spans="3:5" ht="13.2" x14ac:dyDescent="0.25">
      <c r="C888" s="160"/>
      <c r="D888" s="160"/>
      <c r="E888" s="160"/>
    </row>
    <row r="889" spans="3:5" ht="13.2" x14ac:dyDescent="0.25">
      <c r="C889" s="160"/>
      <c r="D889" s="160"/>
      <c r="E889" s="160"/>
    </row>
    <row r="890" spans="3:5" ht="13.2" x14ac:dyDescent="0.25">
      <c r="C890" s="160"/>
      <c r="D890" s="160"/>
      <c r="E890" s="160"/>
    </row>
    <row r="891" spans="3:5" ht="13.2" x14ac:dyDescent="0.25">
      <c r="C891" s="160"/>
      <c r="D891" s="160"/>
      <c r="E891" s="160"/>
    </row>
    <row r="892" spans="3:5" ht="13.2" x14ac:dyDescent="0.25">
      <c r="C892" s="160"/>
      <c r="D892" s="160"/>
      <c r="E892" s="160"/>
    </row>
    <row r="893" spans="3:5" ht="13.2" x14ac:dyDescent="0.25">
      <c r="C893" s="160"/>
      <c r="D893" s="160"/>
      <c r="E893" s="160"/>
    </row>
    <row r="894" spans="3:5" ht="13.2" x14ac:dyDescent="0.25">
      <c r="C894" s="160"/>
      <c r="D894" s="160"/>
      <c r="E894" s="160"/>
    </row>
    <row r="895" spans="3:5" ht="13.2" x14ac:dyDescent="0.25">
      <c r="C895" s="160"/>
      <c r="D895" s="160"/>
      <c r="E895" s="160"/>
    </row>
    <row r="896" spans="3:5" ht="13.2" x14ac:dyDescent="0.25">
      <c r="C896" s="160"/>
      <c r="D896" s="160"/>
      <c r="E896" s="160"/>
    </row>
    <row r="897" spans="3:5" ht="13.2" x14ac:dyDescent="0.25">
      <c r="C897" s="160"/>
      <c r="D897" s="160"/>
      <c r="E897" s="160"/>
    </row>
    <row r="898" spans="3:5" ht="13.2" x14ac:dyDescent="0.25">
      <c r="C898" s="160"/>
      <c r="D898" s="160"/>
      <c r="E898" s="160"/>
    </row>
    <row r="899" spans="3:5" ht="13.2" x14ac:dyDescent="0.25">
      <c r="C899" s="160"/>
      <c r="D899" s="160"/>
      <c r="E899" s="160"/>
    </row>
    <row r="900" spans="3:5" ht="13.2" x14ac:dyDescent="0.25">
      <c r="C900" s="160"/>
      <c r="D900" s="160"/>
      <c r="E900" s="160"/>
    </row>
    <row r="901" spans="3:5" ht="13.2" x14ac:dyDescent="0.25">
      <c r="C901" s="160"/>
      <c r="D901" s="160"/>
      <c r="E901" s="160"/>
    </row>
    <row r="902" spans="3:5" ht="13.2" x14ac:dyDescent="0.25">
      <c r="C902" s="160"/>
      <c r="D902" s="160"/>
      <c r="E902" s="160"/>
    </row>
    <row r="903" spans="3:5" ht="13.2" x14ac:dyDescent="0.25">
      <c r="C903" s="160"/>
      <c r="D903" s="160"/>
      <c r="E903" s="160"/>
    </row>
    <row r="904" spans="3:5" ht="13.2" x14ac:dyDescent="0.25">
      <c r="C904" s="160"/>
      <c r="D904" s="160"/>
      <c r="E904" s="160"/>
    </row>
    <row r="905" spans="3:5" ht="13.2" x14ac:dyDescent="0.25">
      <c r="C905" s="160"/>
      <c r="D905" s="160"/>
      <c r="E905" s="160"/>
    </row>
    <row r="906" spans="3:5" ht="13.2" x14ac:dyDescent="0.25">
      <c r="C906" s="160"/>
      <c r="D906" s="160"/>
      <c r="E906" s="160"/>
    </row>
    <row r="907" spans="3:5" ht="13.2" x14ac:dyDescent="0.25">
      <c r="C907" s="160"/>
      <c r="D907" s="160"/>
      <c r="E907" s="160"/>
    </row>
    <row r="908" spans="3:5" ht="13.2" x14ac:dyDescent="0.25">
      <c r="C908" s="160"/>
      <c r="D908" s="160"/>
      <c r="E908" s="160"/>
    </row>
    <row r="909" spans="3:5" ht="13.2" x14ac:dyDescent="0.25">
      <c r="C909" s="160"/>
      <c r="D909" s="160"/>
      <c r="E909" s="160"/>
    </row>
    <row r="910" spans="3:5" ht="13.2" x14ac:dyDescent="0.25">
      <c r="C910" s="160"/>
      <c r="D910" s="160"/>
      <c r="E910" s="160"/>
    </row>
    <row r="911" spans="3:5" ht="13.2" x14ac:dyDescent="0.25">
      <c r="C911" s="160"/>
      <c r="D911" s="160"/>
      <c r="E911" s="160"/>
    </row>
    <row r="912" spans="3:5" ht="13.2" x14ac:dyDescent="0.25">
      <c r="C912" s="160"/>
      <c r="D912" s="160"/>
      <c r="E912" s="160"/>
    </row>
    <row r="913" spans="3:5" ht="13.2" x14ac:dyDescent="0.25">
      <c r="C913" s="160"/>
      <c r="D913" s="160"/>
      <c r="E913" s="160"/>
    </row>
    <row r="914" spans="3:5" ht="13.2" x14ac:dyDescent="0.25">
      <c r="C914" s="160"/>
      <c r="D914" s="160"/>
      <c r="E914" s="160"/>
    </row>
    <row r="915" spans="3:5" ht="13.2" x14ac:dyDescent="0.25">
      <c r="C915" s="160"/>
      <c r="D915" s="160"/>
      <c r="E915" s="160"/>
    </row>
    <row r="916" spans="3:5" ht="13.2" x14ac:dyDescent="0.25">
      <c r="C916" s="160"/>
      <c r="D916" s="160"/>
      <c r="E916" s="160"/>
    </row>
    <row r="917" spans="3:5" ht="13.2" x14ac:dyDescent="0.25">
      <c r="C917" s="160"/>
      <c r="D917" s="160"/>
      <c r="E917" s="160"/>
    </row>
    <row r="918" spans="3:5" ht="13.2" x14ac:dyDescent="0.25">
      <c r="C918" s="160"/>
      <c r="D918" s="160"/>
      <c r="E918" s="160"/>
    </row>
    <row r="919" spans="3:5" ht="13.2" x14ac:dyDescent="0.25">
      <c r="C919" s="160"/>
      <c r="D919" s="160"/>
      <c r="E919" s="160"/>
    </row>
    <row r="920" spans="3:5" ht="13.2" x14ac:dyDescent="0.25">
      <c r="C920" s="160"/>
      <c r="D920" s="160"/>
      <c r="E920" s="160"/>
    </row>
    <row r="921" spans="3:5" ht="13.2" x14ac:dyDescent="0.25">
      <c r="C921" s="160"/>
      <c r="D921" s="160"/>
      <c r="E921" s="160"/>
    </row>
    <row r="922" spans="3:5" ht="13.2" x14ac:dyDescent="0.25">
      <c r="C922" s="160"/>
      <c r="D922" s="160"/>
      <c r="E922" s="160"/>
    </row>
    <row r="923" spans="3:5" ht="13.2" x14ac:dyDescent="0.25">
      <c r="C923" s="160"/>
      <c r="D923" s="160"/>
      <c r="E923" s="160"/>
    </row>
    <row r="924" spans="3:5" ht="13.2" x14ac:dyDescent="0.25">
      <c r="C924" s="160"/>
      <c r="D924" s="160"/>
      <c r="E924" s="160"/>
    </row>
    <row r="925" spans="3:5" ht="13.2" x14ac:dyDescent="0.25">
      <c r="C925" s="160"/>
      <c r="D925" s="160"/>
      <c r="E925" s="160"/>
    </row>
    <row r="926" spans="3:5" ht="13.2" x14ac:dyDescent="0.25">
      <c r="C926" s="160"/>
      <c r="D926" s="160"/>
      <c r="E926" s="160"/>
    </row>
    <row r="927" spans="3:5" ht="13.2" x14ac:dyDescent="0.25">
      <c r="C927" s="160"/>
      <c r="D927" s="160"/>
      <c r="E927" s="160"/>
    </row>
    <row r="928" spans="3:5" ht="13.2" x14ac:dyDescent="0.25">
      <c r="C928" s="160"/>
      <c r="D928" s="160"/>
      <c r="E928" s="160"/>
    </row>
    <row r="929" spans="3:5" ht="13.2" x14ac:dyDescent="0.25">
      <c r="C929" s="160"/>
      <c r="D929" s="160"/>
      <c r="E929" s="160"/>
    </row>
    <row r="930" spans="3:5" ht="13.2" x14ac:dyDescent="0.25">
      <c r="C930" s="160"/>
      <c r="D930" s="160"/>
      <c r="E930" s="160"/>
    </row>
    <row r="931" spans="3:5" ht="13.2" x14ac:dyDescent="0.25">
      <c r="C931" s="160"/>
      <c r="D931" s="160"/>
      <c r="E931" s="160"/>
    </row>
    <row r="932" spans="3:5" ht="13.2" x14ac:dyDescent="0.25">
      <c r="C932" s="160"/>
      <c r="D932" s="160"/>
      <c r="E932" s="160"/>
    </row>
    <row r="933" spans="3:5" ht="13.2" x14ac:dyDescent="0.25">
      <c r="C933" s="160"/>
      <c r="D933" s="160"/>
      <c r="E933" s="160"/>
    </row>
    <row r="934" spans="3:5" ht="13.2" x14ac:dyDescent="0.25">
      <c r="C934" s="160"/>
      <c r="D934" s="160"/>
      <c r="E934" s="160"/>
    </row>
    <row r="935" spans="3:5" ht="13.2" x14ac:dyDescent="0.25">
      <c r="C935" s="160"/>
      <c r="D935" s="160"/>
      <c r="E935" s="160"/>
    </row>
    <row r="936" spans="3:5" ht="13.2" x14ac:dyDescent="0.25">
      <c r="C936" s="160"/>
      <c r="D936" s="160"/>
      <c r="E936" s="160"/>
    </row>
    <row r="937" spans="3:5" ht="13.2" x14ac:dyDescent="0.25">
      <c r="C937" s="160"/>
      <c r="D937" s="160"/>
      <c r="E937" s="160"/>
    </row>
    <row r="938" spans="3:5" ht="13.2" x14ac:dyDescent="0.25">
      <c r="C938" s="160"/>
      <c r="D938" s="160"/>
      <c r="E938" s="160"/>
    </row>
    <row r="939" spans="3:5" ht="13.2" x14ac:dyDescent="0.25">
      <c r="C939" s="160"/>
      <c r="D939" s="160"/>
      <c r="E939" s="160"/>
    </row>
    <row r="940" spans="3:5" ht="13.2" x14ac:dyDescent="0.25">
      <c r="C940" s="160"/>
      <c r="D940" s="160"/>
      <c r="E940" s="160"/>
    </row>
    <row r="941" spans="3:5" ht="13.2" x14ac:dyDescent="0.25">
      <c r="C941" s="160"/>
      <c r="D941" s="160"/>
      <c r="E941" s="160"/>
    </row>
    <row r="942" spans="3:5" ht="13.2" x14ac:dyDescent="0.25">
      <c r="C942" s="160"/>
      <c r="D942" s="160"/>
      <c r="E942" s="160"/>
    </row>
    <row r="943" spans="3:5" ht="13.2" x14ac:dyDescent="0.25">
      <c r="C943" s="160"/>
      <c r="D943" s="160"/>
      <c r="E943" s="160"/>
    </row>
    <row r="944" spans="3:5" ht="13.2" x14ac:dyDescent="0.25">
      <c r="C944" s="160"/>
      <c r="D944" s="160"/>
      <c r="E944" s="160"/>
    </row>
    <row r="945" spans="3:5" ht="13.2" x14ac:dyDescent="0.25">
      <c r="C945" s="160"/>
      <c r="D945" s="160"/>
      <c r="E945" s="160"/>
    </row>
    <row r="946" spans="3:5" ht="13.2" x14ac:dyDescent="0.25">
      <c r="C946" s="160"/>
      <c r="D946" s="160"/>
      <c r="E946" s="160"/>
    </row>
    <row r="947" spans="3:5" ht="13.2" x14ac:dyDescent="0.25">
      <c r="C947" s="160"/>
      <c r="D947" s="160"/>
      <c r="E947" s="160"/>
    </row>
    <row r="948" spans="3:5" ht="13.2" x14ac:dyDescent="0.25">
      <c r="C948" s="160"/>
      <c r="D948" s="160"/>
      <c r="E948" s="160"/>
    </row>
    <row r="949" spans="3:5" ht="13.2" x14ac:dyDescent="0.25">
      <c r="C949" s="160"/>
      <c r="D949" s="160"/>
      <c r="E949" s="160"/>
    </row>
    <row r="950" spans="3:5" ht="13.2" x14ac:dyDescent="0.25">
      <c r="C950" s="160"/>
      <c r="D950" s="160"/>
      <c r="E950" s="160"/>
    </row>
    <row r="951" spans="3:5" ht="13.2" x14ac:dyDescent="0.25">
      <c r="C951" s="160"/>
      <c r="D951" s="160"/>
      <c r="E951" s="160"/>
    </row>
    <row r="952" spans="3:5" ht="13.2" x14ac:dyDescent="0.25">
      <c r="C952" s="160"/>
      <c r="D952" s="160"/>
      <c r="E952" s="160"/>
    </row>
    <row r="953" spans="3:5" ht="13.2" x14ac:dyDescent="0.25">
      <c r="C953" s="160"/>
      <c r="D953" s="160"/>
      <c r="E953" s="160"/>
    </row>
    <row r="954" spans="3:5" ht="13.2" x14ac:dyDescent="0.25">
      <c r="C954" s="160"/>
      <c r="D954" s="160"/>
      <c r="E954" s="160"/>
    </row>
    <row r="955" spans="3:5" ht="13.2" x14ac:dyDescent="0.25">
      <c r="C955" s="160"/>
      <c r="D955" s="160"/>
      <c r="E955" s="160"/>
    </row>
    <row r="956" spans="3:5" ht="13.2" x14ac:dyDescent="0.25">
      <c r="C956" s="160"/>
      <c r="D956" s="160"/>
      <c r="E956" s="160"/>
    </row>
    <row r="957" spans="3:5" ht="13.2" x14ac:dyDescent="0.25">
      <c r="C957" s="160"/>
      <c r="D957" s="160"/>
      <c r="E957" s="160"/>
    </row>
    <row r="958" spans="3:5" ht="13.2" x14ac:dyDescent="0.25">
      <c r="C958" s="160"/>
      <c r="D958" s="160"/>
      <c r="E958" s="160"/>
    </row>
    <row r="959" spans="3:5" ht="13.2" x14ac:dyDescent="0.25">
      <c r="C959" s="160"/>
      <c r="D959" s="160"/>
      <c r="E959" s="160"/>
    </row>
    <row r="960" spans="3:5" ht="13.2" x14ac:dyDescent="0.25">
      <c r="C960" s="160"/>
      <c r="D960" s="160"/>
      <c r="E960" s="160"/>
    </row>
    <row r="961" spans="3:5" ht="13.2" x14ac:dyDescent="0.25">
      <c r="C961" s="160"/>
      <c r="D961" s="160"/>
      <c r="E961" s="160"/>
    </row>
    <row r="962" spans="3:5" ht="13.2" x14ac:dyDescent="0.25">
      <c r="C962" s="160"/>
      <c r="D962" s="160"/>
      <c r="E962" s="160"/>
    </row>
    <row r="963" spans="3:5" ht="13.2" x14ac:dyDescent="0.25">
      <c r="C963" s="160"/>
      <c r="D963" s="160"/>
      <c r="E963" s="160"/>
    </row>
    <row r="964" spans="3:5" ht="13.2" x14ac:dyDescent="0.25">
      <c r="C964" s="160"/>
      <c r="D964" s="160"/>
      <c r="E964" s="160"/>
    </row>
    <row r="965" spans="3:5" ht="13.2" x14ac:dyDescent="0.25">
      <c r="C965" s="160"/>
      <c r="D965" s="160"/>
      <c r="E965" s="160"/>
    </row>
    <row r="966" spans="3:5" ht="13.2" x14ac:dyDescent="0.25">
      <c r="C966" s="160"/>
      <c r="D966" s="160"/>
      <c r="E966" s="160"/>
    </row>
    <row r="967" spans="3:5" ht="13.2" x14ac:dyDescent="0.25">
      <c r="C967" s="160"/>
      <c r="D967" s="160"/>
      <c r="E967" s="160"/>
    </row>
    <row r="968" spans="3:5" ht="13.2" x14ac:dyDescent="0.25">
      <c r="C968" s="160"/>
      <c r="D968" s="160"/>
      <c r="E968" s="160"/>
    </row>
    <row r="969" spans="3:5" ht="13.2" x14ac:dyDescent="0.25">
      <c r="C969" s="160"/>
      <c r="D969" s="160"/>
      <c r="E969" s="160"/>
    </row>
    <row r="970" spans="3:5" ht="13.2" x14ac:dyDescent="0.25">
      <c r="C970" s="160"/>
      <c r="D970" s="160"/>
      <c r="E970" s="160"/>
    </row>
    <row r="971" spans="3:5" ht="13.2" x14ac:dyDescent="0.25">
      <c r="C971" s="160"/>
      <c r="D971" s="160"/>
      <c r="E971" s="160"/>
    </row>
    <row r="972" spans="3:5" ht="13.2" x14ac:dyDescent="0.25">
      <c r="C972" s="160"/>
      <c r="D972" s="160"/>
      <c r="E972" s="160"/>
    </row>
    <row r="973" spans="3:5" ht="13.2" x14ac:dyDescent="0.25">
      <c r="C973" s="160"/>
      <c r="D973" s="160"/>
      <c r="E973" s="160"/>
    </row>
    <row r="974" spans="3:5" ht="13.2" x14ac:dyDescent="0.25">
      <c r="C974" s="160"/>
      <c r="D974" s="160"/>
      <c r="E974" s="160"/>
    </row>
    <row r="975" spans="3:5" ht="13.2" x14ac:dyDescent="0.25">
      <c r="C975" s="160"/>
      <c r="D975" s="160"/>
      <c r="E975" s="160"/>
    </row>
    <row r="976" spans="3:5" ht="13.2" x14ac:dyDescent="0.25">
      <c r="C976" s="160"/>
      <c r="D976" s="160"/>
      <c r="E976" s="160"/>
    </row>
    <row r="977" spans="3:5" ht="13.2" x14ac:dyDescent="0.25">
      <c r="C977" s="160"/>
      <c r="D977" s="160"/>
      <c r="E977" s="160"/>
    </row>
    <row r="978" spans="3:5" ht="13.2" x14ac:dyDescent="0.25">
      <c r="C978" s="160"/>
      <c r="D978" s="160"/>
      <c r="E978" s="160"/>
    </row>
    <row r="979" spans="3:5" ht="13.2" x14ac:dyDescent="0.25">
      <c r="C979" s="160"/>
      <c r="D979" s="160"/>
      <c r="E979" s="160"/>
    </row>
    <row r="980" spans="3:5" ht="13.2" x14ac:dyDescent="0.25">
      <c r="C980" s="160"/>
      <c r="D980" s="160"/>
      <c r="E980" s="160"/>
    </row>
    <row r="981" spans="3:5" ht="13.2" x14ac:dyDescent="0.25">
      <c r="C981" s="160"/>
      <c r="D981" s="160"/>
      <c r="E981" s="160"/>
    </row>
    <row r="982" spans="3:5" ht="13.2" x14ac:dyDescent="0.25">
      <c r="C982" s="160"/>
      <c r="D982" s="160"/>
      <c r="E982" s="160"/>
    </row>
    <row r="983" spans="3:5" ht="13.2" x14ac:dyDescent="0.25">
      <c r="C983" s="160"/>
      <c r="D983" s="160"/>
      <c r="E983" s="160"/>
    </row>
    <row r="984" spans="3:5" ht="13.2" x14ac:dyDescent="0.25">
      <c r="C984" s="160"/>
      <c r="D984" s="160"/>
      <c r="E984" s="160"/>
    </row>
    <row r="985" spans="3:5" ht="13.2" x14ac:dyDescent="0.25">
      <c r="C985" s="160"/>
      <c r="D985" s="160"/>
      <c r="E985" s="160"/>
    </row>
    <row r="986" spans="3:5" ht="13.2" x14ac:dyDescent="0.25">
      <c r="C986" s="160"/>
      <c r="D986" s="160"/>
      <c r="E986" s="160"/>
    </row>
    <row r="987" spans="3:5" ht="13.2" x14ac:dyDescent="0.25">
      <c r="C987" s="160"/>
      <c r="D987" s="160"/>
      <c r="E987" s="160"/>
    </row>
    <row r="988" spans="3:5" ht="13.2" x14ac:dyDescent="0.25">
      <c r="C988" s="160"/>
      <c r="D988" s="160"/>
      <c r="E988" s="160"/>
    </row>
    <row r="989" spans="3:5" ht="13.2" x14ac:dyDescent="0.25">
      <c r="C989" s="160"/>
      <c r="D989" s="160"/>
      <c r="E989" s="160"/>
    </row>
    <row r="990" spans="3:5" ht="13.2" x14ac:dyDescent="0.25">
      <c r="C990" s="160"/>
      <c r="D990" s="160"/>
      <c r="E990" s="160"/>
    </row>
    <row r="991" spans="3:5" ht="13.2" x14ac:dyDescent="0.25">
      <c r="C991" s="160"/>
      <c r="D991" s="160"/>
      <c r="E991" s="160"/>
    </row>
    <row r="992" spans="3:5" ht="13.2" x14ac:dyDescent="0.25">
      <c r="C992" s="160"/>
      <c r="D992" s="160"/>
      <c r="E992" s="160"/>
    </row>
    <row r="993" spans="3:5" ht="13.2" x14ac:dyDescent="0.25">
      <c r="C993" s="160"/>
      <c r="D993" s="160"/>
      <c r="E993" s="160"/>
    </row>
    <row r="994" spans="3:5" ht="13.2" x14ac:dyDescent="0.25">
      <c r="C994" s="160"/>
      <c r="D994" s="160"/>
      <c r="E994" s="160"/>
    </row>
    <row r="995" spans="3:5" ht="13.2" x14ac:dyDescent="0.25">
      <c r="C995" s="160"/>
      <c r="D995" s="160"/>
      <c r="E995" s="160"/>
    </row>
  </sheetData>
  <dataValidations count="1">
    <dataValidation type="custom" allowBlank="1" showDropDown="1" sqref="C2:E34" xr:uid="{00000000-0002-0000-12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A4335"/>
    <outlinePr summaryBelow="0" summaryRight="0"/>
  </sheetPr>
  <dimension ref="A1:I49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21.44140625" customWidth="1"/>
    <col min="2" max="2" width="29.88671875" customWidth="1"/>
    <col min="3" max="3" width="14.77734375" customWidth="1"/>
    <col min="4" max="4" width="18.21875" customWidth="1"/>
    <col min="5" max="5" width="3.21875" customWidth="1"/>
    <col min="6" max="6" width="21.44140625" customWidth="1"/>
    <col min="7" max="7" width="29.88671875" customWidth="1"/>
    <col min="8" max="8" width="14.77734375" customWidth="1"/>
    <col min="9" max="9" width="18.21875" customWidth="1"/>
  </cols>
  <sheetData>
    <row r="1" spans="1:9" ht="22.5" customHeight="1" x14ac:dyDescent="0.25">
      <c r="A1" s="1" t="s">
        <v>0</v>
      </c>
      <c r="B1" s="2" t="s">
        <v>1</v>
      </c>
      <c r="C1" s="1" t="s">
        <v>141</v>
      </c>
      <c r="D1" s="2" t="s">
        <v>4</v>
      </c>
      <c r="F1" s="1" t="s">
        <v>0</v>
      </c>
      <c r="G1" s="2" t="s">
        <v>1</v>
      </c>
      <c r="H1" s="1" t="s">
        <v>141</v>
      </c>
      <c r="I1" s="2" t="s">
        <v>4</v>
      </c>
    </row>
    <row r="2" spans="1:9" ht="22.5" customHeight="1" x14ac:dyDescent="0.25">
      <c r="A2" s="200" t="s">
        <v>217</v>
      </c>
      <c r="B2" s="201" t="s">
        <v>218</v>
      </c>
      <c r="C2" s="202">
        <v>1</v>
      </c>
      <c r="D2" s="203"/>
      <c r="F2" s="204" t="s">
        <v>219</v>
      </c>
      <c r="G2" s="205" t="s">
        <v>218</v>
      </c>
      <c r="H2" s="206">
        <v>1</v>
      </c>
      <c r="I2" s="207"/>
    </row>
    <row r="3" spans="1:9" ht="22.5" customHeight="1" x14ac:dyDescent="0.25">
      <c r="A3" s="208" t="s">
        <v>217</v>
      </c>
      <c r="B3" s="209" t="s">
        <v>220</v>
      </c>
      <c r="C3" s="1">
        <v>2</v>
      </c>
      <c r="D3" s="210"/>
      <c r="F3" s="211" t="s">
        <v>219</v>
      </c>
      <c r="G3" s="209" t="s">
        <v>221</v>
      </c>
      <c r="H3" s="1">
        <v>1</v>
      </c>
      <c r="I3" s="212"/>
    </row>
    <row r="4" spans="1:9" ht="22.5" customHeight="1" x14ac:dyDescent="0.25">
      <c r="A4" s="208" t="s">
        <v>217</v>
      </c>
      <c r="B4" s="209" t="s">
        <v>222</v>
      </c>
      <c r="C4" s="1">
        <v>4</v>
      </c>
      <c r="D4" s="210"/>
      <c r="F4" s="211" t="s">
        <v>219</v>
      </c>
      <c r="G4" s="209" t="s">
        <v>222</v>
      </c>
      <c r="H4" s="1">
        <v>4</v>
      </c>
      <c r="I4" s="212"/>
    </row>
    <row r="5" spans="1:9" ht="22.5" customHeight="1" x14ac:dyDescent="0.25">
      <c r="A5" s="208" t="s">
        <v>217</v>
      </c>
      <c r="B5" s="209" t="s">
        <v>223</v>
      </c>
      <c r="C5" s="1">
        <v>20</v>
      </c>
      <c r="D5" s="210"/>
      <c r="F5" s="211" t="s">
        <v>219</v>
      </c>
      <c r="G5" s="209" t="s">
        <v>30</v>
      </c>
      <c r="H5" s="1">
        <v>10</v>
      </c>
      <c r="I5" s="212"/>
    </row>
    <row r="6" spans="1:9" ht="22.5" customHeight="1" x14ac:dyDescent="0.25">
      <c r="A6" s="208" t="s">
        <v>217</v>
      </c>
      <c r="B6" s="209" t="s">
        <v>14</v>
      </c>
      <c r="C6" s="1">
        <v>60</v>
      </c>
      <c r="D6" s="210"/>
      <c r="F6" s="211" t="s">
        <v>219</v>
      </c>
      <c r="G6" s="209" t="s">
        <v>224</v>
      </c>
      <c r="H6" s="1">
        <v>3</v>
      </c>
      <c r="I6" s="212"/>
    </row>
    <row r="7" spans="1:9" ht="22.5" customHeight="1" x14ac:dyDescent="0.25">
      <c r="A7" s="208" t="s">
        <v>217</v>
      </c>
      <c r="B7" s="209" t="s">
        <v>225</v>
      </c>
      <c r="C7" s="1">
        <v>5</v>
      </c>
      <c r="D7" s="210"/>
      <c r="F7" s="211" t="s">
        <v>219</v>
      </c>
      <c r="G7" s="209" t="s">
        <v>226</v>
      </c>
      <c r="H7" s="1">
        <v>5</v>
      </c>
      <c r="I7" s="212"/>
    </row>
    <row r="8" spans="1:9" ht="22.5" customHeight="1" x14ac:dyDescent="0.25">
      <c r="A8" s="208" t="s">
        <v>217</v>
      </c>
      <c r="B8" s="209" t="s">
        <v>227</v>
      </c>
      <c r="C8" s="1">
        <v>1</v>
      </c>
      <c r="D8" s="210"/>
      <c r="F8" s="211" t="s">
        <v>219</v>
      </c>
      <c r="G8" s="209" t="s">
        <v>227</v>
      </c>
      <c r="H8" s="1">
        <v>1</v>
      </c>
      <c r="I8" s="212"/>
    </row>
    <row r="9" spans="1:9" ht="22.5" customHeight="1" x14ac:dyDescent="0.25">
      <c r="A9" s="213"/>
      <c r="B9" s="214"/>
      <c r="C9" s="215"/>
      <c r="D9" s="216">
        <v>12580</v>
      </c>
      <c r="F9" s="211"/>
      <c r="G9" s="209"/>
      <c r="H9" s="1"/>
      <c r="I9" s="212">
        <v>13600</v>
      </c>
    </row>
    <row r="10" spans="1:9" ht="22.5" customHeight="1" x14ac:dyDescent="0.25">
      <c r="A10" s="200" t="s">
        <v>228</v>
      </c>
      <c r="B10" s="201" t="s">
        <v>218</v>
      </c>
      <c r="C10" s="202">
        <v>1</v>
      </c>
      <c r="D10" s="203"/>
      <c r="F10" s="204" t="s">
        <v>50</v>
      </c>
      <c r="G10" s="205" t="s">
        <v>218</v>
      </c>
      <c r="H10" s="206">
        <v>1</v>
      </c>
      <c r="I10" s="207"/>
    </row>
    <row r="11" spans="1:9" ht="22.5" customHeight="1" x14ac:dyDescent="0.25">
      <c r="A11" s="208" t="s">
        <v>228</v>
      </c>
      <c r="B11" s="209" t="s">
        <v>220</v>
      </c>
      <c r="C11" s="1">
        <v>2</v>
      </c>
      <c r="D11" s="210"/>
      <c r="F11" s="211" t="s">
        <v>50</v>
      </c>
      <c r="G11" s="209" t="s">
        <v>221</v>
      </c>
      <c r="H11" s="1">
        <v>2</v>
      </c>
      <c r="I11" s="212"/>
    </row>
    <row r="12" spans="1:9" ht="22.5" customHeight="1" x14ac:dyDescent="0.25">
      <c r="A12" s="208" t="s">
        <v>228</v>
      </c>
      <c r="B12" s="209" t="s">
        <v>222</v>
      </c>
      <c r="C12" s="1">
        <v>4</v>
      </c>
      <c r="D12" s="210"/>
      <c r="F12" s="211" t="s">
        <v>50</v>
      </c>
      <c r="G12" s="209" t="s">
        <v>222</v>
      </c>
      <c r="H12" s="1">
        <v>4</v>
      </c>
      <c r="I12" s="212"/>
    </row>
    <row r="13" spans="1:9" ht="22.5" customHeight="1" x14ac:dyDescent="0.25">
      <c r="A13" s="208" t="s">
        <v>228</v>
      </c>
      <c r="B13" s="209" t="s">
        <v>59</v>
      </c>
      <c r="C13" s="1">
        <v>20</v>
      </c>
      <c r="D13" s="210"/>
      <c r="F13" s="211" t="s">
        <v>50</v>
      </c>
      <c r="G13" s="209" t="s">
        <v>30</v>
      </c>
      <c r="H13" s="1">
        <v>10</v>
      </c>
      <c r="I13" s="212"/>
    </row>
    <row r="14" spans="1:9" ht="22.5" customHeight="1" x14ac:dyDescent="0.25">
      <c r="A14" s="208" t="s">
        <v>228</v>
      </c>
      <c r="B14" s="209" t="s">
        <v>14</v>
      </c>
      <c r="C14" s="1">
        <v>60</v>
      </c>
      <c r="D14" s="210"/>
      <c r="F14" s="211" t="s">
        <v>50</v>
      </c>
      <c r="G14" s="209" t="s">
        <v>14</v>
      </c>
      <c r="H14" s="1">
        <v>60</v>
      </c>
      <c r="I14" s="212"/>
    </row>
    <row r="15" spans="1:9" ht="22.5" customHeight="1" x14ac:dyDescent="0.25">
      <c r="A15" s="208" t="s">
        <v>228</v>
      </c>
      <c r="B15" s="209" t="s">
        <v>229</v>
      </c>
      <c r="C15" s="1">
        <v>5</v>
      </c>
      <c r="D15" s="210"/>
      <c r="F15" s="211" t="s">
        <v>50</v>
      </c>
      <c r="G15" s="209" t="s">
        <v>230</v>
      </c>
      <c r="H15" s="1">
        <v>5</v>
      </c>
      <c r="I15" s="212"/>
    </row>
    <row r="16" spans="1:9" ht="22.5" customHeight="1" x14ac:dyDescent="0.25">
      <c r="A16" s="208" t="s">
        <v>228</v>
      </c>
      <c r="B16" s="209" t="s">
        <v>227</v>
      </c>
      <c r="C16" s="1">
        <v>1</v>
      </c>
      <c r="D16" s="210"/>
      <c r="F16" s="211" t="s">
        <v>50</v>
      </c>
      <c r="G16" s="209" t="s">
        <v>227</v>
      </c>
      <c r="H16" s="1">
        <v>1</v>
      </c>
      <c r="I16" s="212"/>
    </row>
    <row r="17" spans="1:9" ht="22.5" customHeight="1" x14ac:dyDescent="0.25">
      <c r="A17" s="213"/>
      <c r="B17" s="214"/>
      <c r="C17" s="215"/>
      <c r="D17" s="216">
        <v>15300</v>
      </c>
      <c r="F17" s="217"/>
      <c r="G17" s="218"/>
      <c r="H17" s="219"/>
      <c r="I17" s="220">
        <v>13600</v>
      </c>
    </row>
    <row r="18" spans="1:9" ht="22.5" customHeight="1" x14ac:dyDescent="0.25">
      <c r="A18" s="200" t="s">
        <v>231</v>
      </c>
      <c r="B18" s="201" t="s">
        <v>218</v>
      </c>
      <c r="C18" s="202">
        <v>1</v>
      </c>
      <c r="D18" s="203"/>
      <c r="F18" s="204" t="s">
        <v>232</v>
      </c>
      <c r="G18" s="205" t="s">
        <v>218</v>
      </c>
      <c r="H18" s="206">
        <v>1</v>
      </c>
      <c r="I18" s="207"/>
    </row>
    <row r="19" spans="1:9" ht="22.5" customHeight="1" x14ac:dyDescent="0.25">
      <c r="A19" s="208" t="s">
        <v>231</v>
      </c>
      <c r="B19" s="209" t="s">
        <v>220</v>
      </c>
      <c r="C19" s="1">
        <v>2</v>
      </c>
      <c r="D19" s="210"/>
      <c r="F19" s="211" t="s">
        <v>232</v>
      </c>
      <c r="G19" s="209" t="s">
        <v>220</v>
      </c>
      <c r="H19" s="1">
        <v>2</v>
      </c>
      <c r="I19" s="212"/>
    </row>
    <row r="20" spans="1:9" ht="22.5" customHeight="1" x14ac:dyDescent="0.25">
      <c r="A20" s="208" t="s">
        <v>231</v>
      </c>
      <c r="B20" s="209" t="s">
        <v>222</v>
      </c>
      <c r="C20" s="1">
        <v>4</v>
      </c>
      <c r="D20" s="210"/>
      <c r="F20" s="211" t="s">
        <v>232</v>
      </c>
      <c r="G20" s="209" t="s">
        <v>222</v>
      </c>
      <c r="H20" s="1">
        <v>3</v>
      </c>
      <c r="I20" s="212"/>
    </row>
    <row r="21" spans="1:9" ht="22.5" customHeight="1" x14ac:dyDescent="0.25">
      <c r="A21" s="208" t="s">
        <v>231</v>
      </c>
      <c r="B21" s="209" t="s">
        <v>233</v>
      </c>
      <c r="C21" s="1">
        <v>3</v>
      </c>
      <c r="D21" s="210"/>
      <c r="F21" s="211" t="s">
        <v>232</v>
      </c>
      <c r="G21" s="209" t="s">
        <v>14</v>
      </c>
      <c r="H21" s="1">
        <v>60</v>
      </c>
      <c r="I21" s="212"/>
    </row>
    <row r="22" spans="1:9" ht="22.5" customHeight="1" x14ac:dyDescent="0.25">
      <c r="A22" s="208" t="s">
        <v>231</v>
      </c>
      <c r="B22" s="209" t="s">
        <v>14</v>
      </c>
      <c r="C22" s="1">
        <v>60</v>
      </c>
      <c r="D22" s="210"/>
      <c r="F22" s="211" t="s">
        <v>232</v>
      </c>
      <c r="G22" s="209" t="s">
        <v>234</v>
      </c>
      <c r="H22" s="1">
        <v>5</v>
      </c>
      <c r="I22" s="212"/>
    </row>
    <row r="23" spans="1:9" ht="22.5" customHeight="1" x14ac:dyDescent="0.25">
      <c r="A23" s="208" t="s">
        <v>231</v>
      </c>
      <c r="B23" s="209" t="s">
        <v>229</v>
      </c>
      <c r="C23" s="1">
        <v>5</v>
      </c>
      <c r="D23" s="210"/>
      <c r="F23" s="211" t="s">
        <v>232</v>
      </c>
      <c r="G23" s="209" t="s">
        <v>34</v>
      </c>
      <c r="H23" s="1">
        <v>3</v>
      </c>
      <c r="I23" s="212"/>
    </row>
    <row r="24" spans="1:9" ht="22.5" customHeight="1" x14ac:dyDescent="0.25">
      <c r="A24" s="208" t="s">
        <v>231</v>
      </c>
      <c r="B24" s="209" t="s">
        <v>227</v>
      </c>
      <c r="C24" s="1">
        <v>1</v>
      </c>
      <c r="D24" s="210"/>
      <c r="F24" s="211" t="s">
        <v>232</v>
      </c>
      <c r="G24" s="209" t="s">
        <v>227</v>
      </c>
      <c r="H24" s="1">
        <v>1</v>
      </c>
      <c r="I24" s="212"/>
    </row>
    <row r="25" spans="1:9" ht="22.5" customHeight="1" x14ac:dyDescent="0.25">
      <c r="A25" s="213"/>
      <c r="B25" s="214"/>
      <c r="C25" s="215"/>
      <c r="D25" s="216">
        <v>15100</v>
      </c>
      <c r="F25" s="217"/>
      <c r="G25" s="218"/>
      <c r="H25" s="219"/>
      <c r="I25" s="220">
        <v>13800</v>
      </c>
    </row>
    <row r="26" spans="1:9" ht="22.5" customHeight="1" x14ac:dyDescent="0.25">
      <c r="A26" s="200" t="s">
        <v>235</v>
      </c>
      <c r="B26" s="201" t="s">
        <v>218</v>
      </c>
      <c r="C26" s="202">
        <v>1</v>
      </c>
      <c r="D26" s="203"/>
      <c r="F26" s="204" t="s">
        <v>236</v>
      </c>
      <c r="G26" s="205" t="s">
        <v>218</v>
      </c>
      <c r="H26" s="206">
        <v>1</v>
      </c>
      <c r="I26" s="207"/>
    </row>
    <row r="27" spans="1:9" ht="22.5" customHeight="1" x14ac:dyDescent="0.25">
      <c r="A27" s="208" t="s">
        <v>235</v>
      </c>
      <c r="B27" s="209" t="s">
        <v>220</v>
      </c>
      <c r="C27" s="1">
        <v>2</v>
      </c>
      <c r="D27" s="210"/>
      <c r="F27" s="211" t="s">
        <v>236</v>
      </c>
      <c r="G27" s="209" t="s">
        <v>221</v>
      </c>
      <c r="H27" s="1">
        <v>2</v>
      </c>
      <c r="I27" s="212"/>
    </row>
    <row r="28" spans="1:9" ht="22.5" customHeight="1" x14ac:dyDescent="0.25">
      <c r="A28" s="208" t="s">
        <v>235</v>
      </c>
      <c r="B28" s="209" t="s">
        <v>196</v>
      </c>
      <c r="C28" s="1">
        <v>2</v>
      </c>
      <c r="D28" s="210"/>
      <c r="F28" s="211" t="s">
        <v>236</v>
      </c>
      <c r="G28" s="209" t="s">
        <v>222</v>
      </c>
      <c r="H28" s="1">
        <v>4</v>
      </c>
      <c r="I28" s="212"/>
    </row>
    <row r="29" spans="1:9" ht="22.5" customHeight="1" x14ac:dyDescent="0.25">
      <c r="A29" s="208" t="s">
        <v>235</v>
      </c>
      <c r="B29" s="209" t="s">
        <v>237</v>
      </c>
      <c r="C29" s="1">
        <v>5</v>
      </c>
      <c r="D29" s="210"/>
      <c r="F29" s="211" t="s">
        <v>236</v>
      </c>
      <c r="G29" s="209" t="s">
        <v>14</v>
      </c>
      <c r="H29" s="1">
        <v>40</v>
      </c>
      <c r="I29" s="212"/>
    </row>
    <row r="30" spans="1:9" ht="22.5" customHeight="1" x14ac:dyDescent="0.25">
      <c r="A30" s="208" t="s">
        <v>235</v>
      </c>
      <c r="B30" s="209" t="s">
        <v>223</v>
      </c>
      <c r="C30" s="1">
        <v>20</v>
      </c>
      <c r="D30" s="210"/>
      <c r="F30" s="211" t="s">
        <v>236</v>
      </c>
      <c r="G30" s="209" t="s">
        <v>223</v>
      </c>
      <c r="H30" s="1">
        <v>20</v>
      </c>
      <c r="I30" s="212"/>
    </row>
    <row r="31" spans="1:9" ht="22.5" customHeight="1" x14ac:dyDescent="0.25">
      <c r="A31" s="208" t="s">
        <v>235</v>
      </c>
      <c r="B31" s="209" t="s">
        <v>238</v>
      </c>
      <c r="C31" s="1">
        <v>5</v>
      </c>
      <c r="D31" s="210"/>
      <c r="F31" s="211" t="s">
        <v>236</v>
      </c>
      <c r="G31" s="209" t="s">
        <v>227</v>
      </c>
      <c r="H31" s="1">
        <v>1</v>
      </c>
      <c r="I31" s="212"/>
    </row>
    <row r="32" spans="1:9" ht="22.5" customHeight="1" x14ac:dyDescent="0.25">
      <c r="A32" s="208" t="s">
        <v>235</v>
      </c>
      <c r="B32" s="209" t="s">
        <v>239</v>
      </c>
      <c r="C32" s="1">
        <v>5</v>
      </c>
      <c r="D32" s="210"/>
      <c r="F32" s="217"/>
      <c r="G32" s="218"/>
      <c r="H32" s="219"/>
      <c r="I32" s="220">
        <v>13500</v>
      </c>
    </row>
    <row r="33" spans="1:9" ht="22.5" customHeight="1" x14ac:dyDescent="0.25">
      <c r="A33" s="208" t="s">
        <v>235</v>
      </c>
      <c r="B33" s="209" t="s">
        <v>227</v>
      </c>
      <c r="C33" s="1">
        <v>1</v>
      </c>
      <c r="D33" s="210"/>
      <c r="F33" s="204" t="s">
        <v>10</v>
      </c>
      <c r="G33" s="205" t="s">
        <v>221</v>
      </c>
      <c r="H33" s="206">
        <v>2</v>
      </c>
      <c r="I33" s="207"/>
    </row>
    <row r="34" spans="1:9" ht="22.5" customHeight="1" x14ac:dyDescent="0.25">
      <c r="A34" s="213"/>
      <c r="B34" s="214"/>
      <c r="C34" s="215"/>
      <c r="D34" s="216">
        <v>14900</v>
      </c>
      <c r="F34" s="211" t="s">
        <v>10</v>
      </c>
      <c r="G34" s="209" t="s">
        <v>222</v>
      </c>
      <c r="H34" s="1">
        <v>4</v>
      </c>
      <c r="I34" s="212"/>
    </row>
    <row r="35" spans="1:9" ht="22.5" customHeight="1" x14ac:dyDescent="0.25">
      <c r="A35" s="200" t="s">
        <v>240</v>
      </c>
      <c r="B35" s="201" t="s">
        <v>218</v>
      </c>
      <c r="C35" s="202">
        <v>1</v>
      </c>
      <c r="D35" s="203"/>
      <c r="F35" s="211" t="s">
        <v>10</v>
      </c>
      <c r="G35" s="209" t="s">
        <v>14</v>
      </c>
      <c r="H35" s="1">
        <v>60</v>
      </c>
      <c r="I35" s="212"/>
    </row>
    <row r="36" spans="1:9" ht="22.5" customHeight="1" x14ac:dyDescent="0.25">
      <c r="A36" s="208" t="s">
        <v>240</v>
      </c>
      <c r="B36" s="209" t="s">
        <v>220</v>
      </c>
      <c r="C36" s="1">
        <v>2</v>
      </c>
      <c r="D36" s="210"/>
      <c r="F36" s="211" t="s">
        <v>10</v>
      </c>
      <c r="G36" s="209" t="s">
        <v>227</v>
      </c>
      <c r="H36" s="1">
        <v>1</v>
      </c>
      <c r="I36" s="212"/>
    </row>
    <row r="37" spans="1:9" ht="22.5" customHeight="1" x14ac:dyDescent="0.25">
      <c r="A37" s="208" t="s">
        <v>240</v>
      </c>
      <c r="B37" s="209" t="s">
        <v>222</v>
      </c>
      <c r="C37" s="1">
        <v>4</v>
      </c>
      <c r="D37" s="210"/>
      <c r="F37" s="217"/>
      <c r="G37" s="218"/>
      <c r="H37" s="219"/>
      <c r="I37" s="220">
        <v>13000</v>
      </c>
    </row>
    <row r="38" spans="1:9" ht="22.5" customHeight="1" x14ac:dyDescent="0.25">
      <c r="A38" s="208" t="s">
        <v>240</v>
      </c>
      <c r="B38" s="209" t="s">
        <v>38</v>
      </c>
      <c r="C38" s="1">
        <v>10</v>
      </c>
      <c r="D38" s="210"/>
      <c r="F38" s="204" t="s">
        <v>58</v>
      </c>
      <c r="G38" s="205" t="s">
        <v>221</v>
      </c>
      <c r="H38" s="206">
        <v>2</v>
      </c>
      <c r="I38" s="207"/>
    </row>
    <row r="39" spans="1:9" ht="22.5" customHeight="1" x14ac:dyDescent="0.25">
      <c r="A39" s="208" t="s">
        <v>240</v>
      </c>
      <c r="B39" s="209" t="s">
        <v>39</v>
      </c>
      <c r="C39" s="1">
        <v>20</v>
      </c>
      <c r="D39" s="210"/>
      <c r="F39" s="211" t="s">
        <v>58</v>
      </c>
      <c r="G39" s="209" t="s">
        <v>222</v>
      </c>
      <c r="H39" s="1">
        <v>4</v>
      </c>
      <c r="I39" s="212"/>
    </row>
    <row r="40" spans="1:9" ht="22.5" customHeight="1" x14ac:dyDescent="0.25">
      <c r="A40" s="208" t="s">
        <v>240</v>
      </c>
      <c r="B40" s="209" t="s">
        <v>241</v>
      </c>
      <c r="C40" s="1">
        <v>5</v>
      </c>
      <c r="D40" s="210"/>
      <c r="F40" s="211" t="s">
        <v>58</v>
      </c>
      <c r="G40" s="209" t="s">
        <v>59</v>
      </c>
      <c r="H40" s="1">
        <v>5</v>
      </c>
      <c r="I40" s="212"/>
    </row>
    <row r="41" spans="1:9" ht="22.5" customHeight="1" x14ac:dyDescent="0.25">
      <c r="A41" s="208" t="s">
        <v>240</v>
      </c>
      <c r="B41" s="209" t="s">
        <v>242</v>
      </c>
      <c r="C41" s="1">
        <v>5</v>
      </c>
      <c r="D41" s="210"/>
      <c r="F41" s="211" t="s">
        <v>58</v>
      </c>
      <c r="G41" s="209" t="s">
        <v>14</v>
      </c>
      <c r="H41" s="1">
        <v>60</v>
      </c>
      <c r="I41" s="212"/>
    </row>
    <row r="42" spans="1:9" ht="22.5" customHeight="1" x14ac:dyDescent="0.25">
      <c r="A42" s="208" t="s">
        <v>240</v>
      </c>
      <c r="B42" s="209" t="s">
        <v>227</v>
      </c>
      <c r="C42" s="1">
        <v>1</v>
      </c>
      <c r="D42" s="210"/>
      <c r="F42" s="211" t="s">
        <v>58</v>
      </c>
      <c r="G42" s="209" t="s">
        <v>230</v>
      </c>
      <c r="H42" s="1">
        <v>5</v>
      </c>
      <c r="I42" s="212"/>
    </row>
    <row r="43" spans="1:9" ht="22.5" customHeight="1" x14ac:dyDescent="0.25">
      <c r="A43" s="213"/>
      <c r="B43" s="214"/>
      <c r="C43" s="215"/>
      <c r="D43" s="216">
        <v>14700</v>
      </c>
      <c r="F43" s="211" t="s">
        <v>58</v>
      </c>
      <c r="G43" s="209" t="s">
        <v>227</v>
      </c>
      <c r="H43" s="1">
        <v>1</v>
      </c>
      <c r="I43" s="212"/>
    </row>
    <row r="44" spans="1:9" ht="22.5" customHeight="1" x14ac:dyDescent="0.25">
      <c r="A44" s="200" t="s">
        <v>243</v>
      </c>
      <c r="B44" s="201" t="s">
        <v>218</v>
      </c>
      <c r="C44" s="202">
        <v>1</v>
      </c>
      <c r="D44" s="203"/>
      <c r="F44" s="217"/>
      <c r="G44" s="218"/>
      <c r="H44" s="219"/>
      <c r="I44" s="220">
        <v>13600</v>
      </c>
    </row>
    <row r="45" spans="1:9" ht="22.5" customHeight="1" x14ac:dyDescent="0.25">
      <c r="A45" s="208" t="s">
        <v>243</v>
      </c>
      <c r="B45" s="209" t="s">
        <v>220</v>
      </c>
      <c r="C45" s="1">
        <v>2</v>
      </c>
      <c r="D45" s="210"/>
      <c r="F45" s="204" t="s">
        <v>244</v>
      </c>
      <c r="G45" s="205" t="s">
        <v>221</v>
      </c>
      <c r="H45" s="206">
        <v>2</v>
      </c>
      <c r="I45" s="207"/>
    </row>
    <row r="46" spans="1:9" ht="22.5" customHeight="1" x14ac:dyDescent="0.25">
      <c r="A46" s="208" t="s">
        <v>243</v>
      </c>
      <c r="B46" s="209" t="s">
        <v>222</v>
      </c>
      <c r="C46" s="1">
        <v>4</v>
      </c>
      <c r="D46" s="210"/>
      <c r="F46" s="211" t="s">
        <v>244</v>
      </c>
      <c r="G46" s="209" t="s">
        <v>222</v>
      </c>
      <c r="H46" s="1">
        <v>4</v>
      </c>
      <c r="I46" s="212"/>
    </row>
    <row r="47" spans="1:9" ht="22.5" customHeight="1" x14ac:dyDescent="0.25">
      <c r="A47" s="208" t="s">
        <v>243</v>
      </c>
      <c r="B47" s="209" t="s">
        <v>245</v>
      </c>
      <c r="C47" s="1">
        <v>5</v>
      </c>
      <c r="D47" s="210"/>
      <c r="F47" s="211" t="s">
        <v>244</v>
      </c>
      <c r="G47" s="209" t="s">
        <v>30</v>
      </c>
      <c r="H47" s="1">
        <v>5</v>
      </c>
      <c r="I47" s="212"/>
    </row>
    <row r="48" spans="1:9" ht="22.5" customHeight="1" x14ac:dyDescent="0.25">
      <c r="A48" s="208" t="s">
        <v>243</v>
      </c>
      <c r="B48" s="209" t="s">
        <v>59</v>
      </c>
      <c r="C48" s="1">
        <v>5</v>
      </c>
      <c r="D48" s="210"/>
      <c r="F48" s="211" t="s">
        <v>244</v>
      </c>
      <c r="G48" s="209" t="s">
        <v>31</v>
      </c>
      <c r="H48" s="1">
        <v>5</v>
      </c>
      <c r="I48" s="212"/>
    </row>
    <row r="49" spans="1:9" ht="22.5" customHeight="1" x14ac:dyDescent="0.25">
      <c r="A49" s="208" t="s">
        <v>243</v>
      </c>
      <c r="B49" s="209" t="s">
        <v>246</v>
      </c>
      <c r="C49" s="1">
        <v>5</v>
      </c>
      <c r="D49" s="210"/>
      <c r="F49" s="211" t="s">
        <v>244</v>
      </c>
      <c r="G49" s="209" t="s">
        <v>32</v>
      </c>
      <c r="H49" s="1">
        <v>5</v>
      </c>
      <c r="I49" s="212"/>
    </row>
    <row r="50" spans="1:9" ht="22.5" customHeight="1" x14ac:dyDescent="0.25">
      <c r="A50" s="208" t="s">
        <v>243</v>
      </c>
      <c r="B50" s="209" t="s">
        <v>227</v>
      </c>
      <c r="C50" s="1">
        <v>1</v>
      </c>
      <c r="D50" s="210"/>
      <c r="F50" s="211" t="s">
        <v>244</v>
      </c>
      <c r="G50" s="209" t="s">
        <v>227</v>
      </c>
      <c r="H50" s="1">
        <v>1</v>
      </c>
      <c r="I50" s="212"/>
    </row>
    <row r="51" spans="1:9" ht="22.5" customHeight="1" x14ac:dyDescent="0.25">
      <c r="A51" s="213"/>
      <c r="B51" s="214"/>
      <c r="C51" s="215"/>
      <c r="D51" s="216">
        <v>14700</v>
      </c>
      <c r="F51" s="217"/>
      <c r="G51" s="218"/>
      <c r="H51" s="219"/>
      <c r="I51" s="220">
        <v>13200</v>
      </c>
    </row>
    <row r="52" spans="1:9" ht="22.5" customHeight="1" x14ac:dyDescent="0.25">
      <c r="A52" s="200" t="s">
        <v>247</v>
      </c>
      <c r="B52" s="201" t="s">
        <v>218</v>
      </c>
      <c r="C52" s="202">
        <v>1</v>
      </c>
      <c r="D52" s="203"/>
      <c r="F52" s="204" t="s">
        <v>248</v>
      </c>
      <c r="G52" s="205" t="s">
        <v>221</v>
      </c>
      <c r="H52" s="206">
        <v>2</v>
      </c>
      <c r="I52" s="207"/>
    </row>
    <row r="53" spans="1:9" ht="22.5" customHeight="1" x14ac:dyDescent="0.25">
      <c r="A53" s="208" t="s">
        <v>247</v>
      </c>
      <c r="B53" s="209" t="s">
        <v>220</v>
      </c>
      <c r="C53" s="1">
        <v>2</v>
      </c>
      <c r="D53" s="210"/>
      <c r="F53" s="211" t="s">
        <v>248</v>
      </c>
      <c r="G53" s="209" t="s">
        <v>222</v>
      </c>
      <c r="H53" s="1">
        <v>4</v>
      </c>
      <c r="I53" s="212"/>
    </row>
    <row r="54" spans="1:9" ht="22.5" customHeight="1" x14ac:dyDescent="0.25">
      <c r="A54" s="208" t="s">
        <v>247</v>
      </c>
      <c r="B54" s="209" t="s">
        <v>222</v>
      </c>
      <c r="C54" s="1">
        <v>4</v>
      </c>
      <c r="D54" s="210"/>
      <c r="F54" s="211" t="s">
        <v>248</v>
      </c>
      <c r="G54" s="209" t="s">
        <v>14</v>
      </c>
      <c r="H54" s="1">
        <v>60</v>
      </c>
      <c r="I54" s="212"/>
    </row>
    <row r="55" spans="1:9" ht="22.5" customHeight="1" x14ac:dyDescent="0.25">
      <c r="A55" s="208" t="s">
        <v>247</v>
      </c>
      <c r="B55" s="209" t="s">
        <v>249</v>
      </c>
      <c r="C55" s="1">
        <v>10</v>
      </c>
      <c r="D55" s="210"/>
      <c r="F55" s="211" t="s">
        <v>248</v>
      </c>
      <c r="G55" s="209" t="s">
        <v>250</v>
      </c>
      <c r="H55" s="1">
        <v>5</v>
      </c>
      <c r="I55" s="212"/>
    </row>
    <row r="56" spans="1:9" ht="22.5" customHeight="1" x14ac:dyDescent="0.25">
      <c r="A56" s="208" t="s">
        <v>247</v>
      </c>
      <c r="B56" s="209" t="s">
        <v>251</v>
      </c>
      <c r="C56" s="1">
        <v>5</v>
      </c>
      <c r="D56" s="210"/>
      <c r="F56" s="211" t="s">
        <v>248</v>
      </c>
      <c r="G56" s="209" t="s">
        <v>227</v>
      </c>
      <c r="H56" s="1">
        <v>1</v>
      </c>
      <c r="I56" s="212"/>
    </row>
    <row r="57" spans="1:9" ht="22.5" customHeight="1" x14ac:dyDescent="0.25">
      <c r="A57" s="208" t="s">
        <v>247</v>
      </c>
      <c r="B57" s="209" t="s">
        <v>227</v>
      </c>
      <c r="C57" s="1">
        <v>1</v>
      </c>
      <c r="D57" s="210"/>
      <c r="F57" s="211"/>
      <c r="G57" s="209"/>
      <c r="H57" s="1"/>
      <c r="I57" s="212">
        <v>13700</v>
      </c>
    </row>
    <row r="58" spans="1:9" ht="22.5" customHeight="1" x14ac:dyDescent="0.25">
      <c r="A58" s="213"/>
      <c r="B58" s="214"/>
      <c r="C58" s="215"/>
      <c r="D58" s="216">
        <v>14500</v>
      </c>
      <c r="F58" s="204" t="s">
        <v>46</v>
      </c>
      <c r="G58" s="205" t="s">
        <v>221</v>
      </c>
      <c r="H58" s="206">
        <v>3</v>
      </c>
      <c r="I58" s="207"/>
    </row>
    <row r="59" spans="1:9" ht="22.5" customHeight="1" x14ac:dyDescent="0.25">
      <c r="A59" s="200" t="s">
        <v>252</v>
      </c>
      <c r="B59" s="201" t="s">
        <v>218</v>
      </c>
      <c r="C59" s="202">
        <v>1</v>
      </c>
      <c r="D59" s="203"/>
      <c r="F59" s="211" t="s">
        <v>46</v>
      </c>
      <c r="G59" s="209" t="s">
        <v>222</v>
      </c>
      <c r="H59" s="1">
        <v>4</v>
      </c>
      <c r="I59" s="212"/>
    </row>
    <row r="60" spans="1:9" ht="22.5" customHeight="1" x14ac:dyDescent="0.25">
      <c r="A60" s="208" t="s">
        <v>252</v>
      </c>
      <c r="B60" s="209" t="s">
        <v>220</v>
      </c>
      <c r="C60" s="1">
        <v>2</v>
      </c>
      <c r="D60" s="210"/>
      <c r="F60" s="211" t="s">
        <v>46</v>
      </c>
      <c r="G60" s="209" t="s">
        <v>14</v>
      </c>
      <c r="H60" s="1">
        <v>60</v>
      </c>
      <c r="I60" s="212"/>
    </row>
    <row r="61" spans="1:9" ht="22.5" customHeight="1" x14ac:dyDescent="0.25">
      <c r="A61" s="208" t="s">
        <v>252</v>
      </c>
      <c r="B61" s="209" t="s">
        <v>222</v>
      </c>
      <c r="C61" s="1">
        <v>4</v>
      </c>
      <c r="D61" s="210"/>
      <c r="F61" s="211" t="s">
        <v>46</v>
      </c>
      <c r="G61" s="209" t="s">
        <v>227</v>
      </c>
      <c r="H61" s="1">
        <v>1</v>
      </c>
      <c r="I61" s="212"/>
    </row>
    <row r="62" spans="1:9" ht="22.5" customHeight="1" x14ac:dyDescent="0.25">
      <c r="A62" s="208" t="s">
        <v>252</v>
      </c>
      <c r="B62" s="209" t="s">
        <v>253</v>
      </c>
      <c r="C62" s="1">
        <v>5</v>
      </c>
      <c r="D62" s="210"/>
      <c r="F62" s="217"/>
      <c r="G62" s="218"/>
      <c r="H62" s="219"/>
      <c r="I62" s="220">
        <v>15200</v>
      </c>
    </row>
    <row r="63" spans="1:9" ht="22.5" customHeight="1" x14ac:dyDescent="0.25">
      <c r="A63" s="208" t="s">
        <v>252</v>
      </c>
      <c r="B63" s="209" t="s">
        <v>32</v>
      </c>
      <c r="C63" s="1">
        <v>5</v>
      </c>
      <c r="D63" s="210"/>
      <c r="F63" s="63"/>
      <c r="G63" s="209"/>
      <c r="H63" s="1"/>
      <c r="I63" s="221"/>
    </row>
    <row r="64" spans="1:9" ht="22.5" customHeight="1" x14ac:dyDescent="0.25">
      <c r="A64" s="208" t="s">
        <v>252</v>
      </c>
      <c r="B64" s="209" t="s">
        <v>31</v>
      </c>
      <c r="C64" s="1">
        <v>5</v>
      </c>
      <c r="D64" s="210"/>
      <c r="F64" s="63"/>
      <c r="G64" s="209"/>
      <c r="H64" s="1"/>
      <c r="I64" s="221"/>
    </row>
    <row r="65" spans="1:9" ht="22.5" customHeight="1" x14ac:dyDescent="0.25">
      <c r="A65" s="208" t="s">
        <v>252</v>
      </c>
      <c r="B65" s="209" t="s">
        <v>227</v>
      </c>
      <c r="C65" s="1">
        <v>1</v>
      </c>
      <c r="D65" s="210"/>
      <c r="F65" s="63"/>
      <c r="G65" s="209"/>
      <c r="H65" s="1"/>
      <c r="I65" s="221"/>
    </row>
    <row r="66" spans="1:9" ht="22.5" customHeight="1" x14ac:dyDescent="0.25">
      <c r="A66" s="213"/>
      <c r="B66" s="214"/>
      <c r="C66" s="215"/>
      <c r="D66" s="216">
        <v>14500</v>
      </c>
      <c r="F66" s="63"/>
      <c r="G66" s="209"/>
      <c r="H66" s="1"/>
      <c r="I66" s="221"/>
    </row>
    <row r="67" spans="1:9" ht="22.5" customHeight="1" x14ac:dyDescent="0.25">
      <c r="A67" s="200" t="s">
        <v>254</v>
      </c>
      <c r="B67" s="201" t="s">
        <v>218</v>
      </c>
      <c r="C67" s="202">
        <v>1</v>
      </c>
      <c r="D67" s="203"/>
      <c r="F67" s="63"/>
      <c r="G67" s="209"/>
      <c r="H67" s="1"/>
      <c r="I67" s="221"/>
    </row>
    <row r="68" spans="1:9" ht="22.5" customHeight="1" x14ac:dyDescent="0.25">
      <c r="A68" s="208" t="s">
        <v>254</v>
      </c>
      <c r="B68" s="209" t="s">
        <v>220</v>
      </c>
      <c r="C68" s="1">
        <v>2</v>
      </c>
      <c r="D68" s="210"/>
      <c r="F68" s="63"/>
      <c r="G68" s="209"/>
      <c r="H68" s="1"/>
      <c r="I68" s="221"/>
    </row>
    <row r="69" spans="1:9" ht="22.5" customHeight="1" x14ac:dyDescent="0.25">
      <c r="A69" s="208" t="s">
        <v>254</v>
      </c>
      <c r="B69" s="209" t="s">
        <v>222</v>
      </c>
      <c r="C69" s="1">
        <v>4</v>
      </c>
      <c r="D69" s="210"/>
      <c r="F69" s="63"/>
      <c r="G69" s="209"/>
      <c r="H69" s="1"/>
      <c r="I69" s="221"/>
    </row>
    <row r="70" spans="1:9" ht="22.5" customHeight="1" x14ac:dyDescent="0.25">
      <c r="A70" s="208" t="s">
        <v>254</v>
      </c>
      <c r="B70" s="209" t="s">
        <v>233</v>
      </c>
      <c r="C70" s="1">
        <v>3</v>
      </c>
      <c r="D70" s="210"/>
      <c r="F70" s="63"/>
      <c r="G70" s="209"/>
      <c r="H70" s="1"/>
      <c r="I70" s="221"/>
    </row>
    <row r="71" spans="1:9" ht="22.5" customHeight="1" x14ac:dyDescent="0.25">
      <c r="A71" s="208" t="s">
        <v>254</v>
      </c>
      <c r="B71" s="209" t="s">
        <v>255</v>
      </c>
      <c r="C71" s="1">
        <v>10</v>
      </c>
      <c r="D71" s="210"/>
      <c r="F71" s="63"/>
      <c r="G71" s="209"/>
      <c r="H71" s="1"/>
      <c r="I71" s="221"/>
    </row>
    <row r="72" spans="1:9" ht="22.5" customHeight="1" x14ac:dyDescent="0.25">
      <c r="A72" s="208" t="s">
        <v>254</v>
      </c>
      <c r="B72" s="209" t="s">
        <v>256</v>
      </c>
      <c r="C72" s="1">
        <v>5</v>
      </c>
      <c r="D72" s="210"/>
      <c r="F72" s="63"/>
      <c r="G72" s="209"/>
      <c r="H72" s="1"/>
      <c r="I72" s="221"/>
    </row>
    <row r="73" spans="1:9" ht="22.5" customHeight="1" x14ac:dyDescent="0.25">
      <c r="A73" s="208" t="s">
        <v>254</v>
      </c>
      <c r="B73" s="209" t="s">
        <v>251</v>
      </c>
      <c r="C73" s="1">
        <v>5</v>
      </c>
      <c r="D73" s="210"/>
      <c r="F73" s="63"/>
      <c r="G73" s="209"/>
      <c r="H73" s="1"/>
      <c r="I73" s="221"/>
    </row>
    <row r="74" spans="1:9" ht="22.5" customHeight="1" x14ac:dyDescent="0.25">
      <c r="A74" s="208" t="s">
        <v>254</v>
      </c>
      <c r="B74" s="209" t="s">
        <v>227</v>
      </c>
      <c r="C74" s="1">
        <v>1</v>
      </c>
      <c r="D74" s="210"/>
      <c r="F74" s="63"/>
      <c r="G74" s="209"/>
      <c r="H74" s="1"/>
      <c r="I74" s="221"/>
    </row>
    <row r="75" spans="1:9" ht="22.5" customHeight="1" x14ac:dyDescent="0.25">
      <c r="A75" s="213"/>
      <c r="B75" s="214"/>
      <c r="C75" s="215"/>
      <c r="D75" s="216">
        <v>14500</v>
      </c>
      <c r="F75" s="63"/>
      <c r="G75" s="209"/>
      <c r="H75" s="1"/>
      <c r="I75" s="221"/>
    </row>
    <row r="76" spans="1:9" ht="22.5" customHeight="1" x14ac:dyDescent="0.25">
      <c r="A76" s="200" t="s">
        <v>257</v>
      </c>
      <c r="B76" s="201" t="s">
        <v>218</v>
      </c>
      <c r="C76" s="202">
        <v>1</v>
      </c>
      <c r="D76" s="203"/>
      <c r="F76" s="63"/>
      <c r="G76" s="209"/>
      <c r="H76" s="1"/>
      <c r="I76" s="221"/>
    </row>
    <row r="77" spans="1:9" ht="22.5" customHeight="1" x14ac:dyDescent="0.25">
      <c r="A77" s="208" t="s">
        <v>257</v>
      </c>
      <c r="B77" s="209" t="s">
        <v>258</v>
      </c>
      <c r="C77" s="1">
        <v>2</v>
      </c>
      <c r="D77" s="210"/>
      <c r="F77" s="63"/>
      <c r="G77" s="209"/>
      <c r="H77" s="1"/>
      <c r="I77" s="221"/>
    </row>
    <row r="78" spans="1:9" ht="22.5" customHeight="1" x14ac:dyDescent="0.25">
      <c r="A78" s="208" t="s">
        <v>257</v>
      </c>
      <c r="B78" s="209" t="s">
        <v>259</v>
      </c>
      <c r="C78" s="1">
        <v>5</v>
      </c>
      <c r="D78" s="210"/>
      <c r="F78" s="63"/>
      <c r="G78" s="209"/>
      <c r="H78" s="1"/>
      <c r="I78" s="221"/>
    </row>
    <row r="79" spans="1:9" ht="22.5" customHeight="1" x14ac:dyDescent="0.25">
      <c r="A79" s="208" t="s">
        <v>257</v>
      </c>
      <c r="B79" s="209" t="s">
        <v>260</v>
      </c>
      <c r="C79" s="1">
        <v>5</v>
      </c>
      <c r="D79" s="210"/>
      <c r="F79" s="63"/>
      <c r="G79" s="209"/>
      <c r="H79" s="1"/>
      <c r="I79" s="221"/>
    </row>
    <row r="80" spans="1:9" ht="22.5" customHeight="1" x14ac:dyDescent="0.25">
      <c r="A80" s="208" t="s">
        <v>257</v>
      </c>
      <c r="B80" s="209" t="s">
        <v>227</v>
      </c>
      <c r="C80" s="1">
        <v>1</v>
      </c>
      <c r="D80" s="210"/>
      <c r="F80" s="63"/>
      <c r="G80" s="209"/>
      <c r="H80" s="1"/>
      <c r="I80" s="221"/>
    </row>
    <row r="81" spans="1:9" ht="22.5" customHeight="1" x14ac:dyDescent="0.25">
      <c r="A81" s="213"/>
      <c r="B81" s="214"/>
      <c r="C81" s="215"/>
      <c r="D81" s="216">
        <v>14400</v>
      </c>
      <c r="F81" s="63"/>
      <c r="G81" s="209"/>
      <c r="H81" s="1"/>
      <c r="I81" s="221"/>
    </row>
    <row r="82" spans="1:9" ht="22.5" customHeight="1" x14ac:dyDescent="0.25">
      <c r="A82" s="200" t="s">
        <v>261</v>
      </c>
      <c r="B82" s="201" t="s">
        <v>262</v>
      </c>
      <c r="C82" s="202">
        <v>1</v>
      </c>
      <c r="D82" s="203"/>
      <c r="F82" s="63"/>
      <c r="G82" s="209"/>
      <c r="H82" s="1"/>
      <c r="I82" s="221"/>
    </row>
    <row r="83" spans="1:9" ht="22.5" customHeight="1" x14ac:dyDescent="0.25">
      <c r="A83" s="208" t="s">
        <v>261</v>
      </c>
      <c r="B83" s="209" t="s">
        <v>263</v>
      </c>
      <c r="C83" s="1">
        <v>2</v>
      </c>
      <c r="D83" s="210"/>
      <c r="F83" s="63"/>
      <c r="G83" s="209"/>
      <c r="H83" s="1"/>
      <c r="I83" s="221"/>
    </row>
    <row r="84" spans="1:9" ht="22.5" customHeight="1" x14ac:dyDescent="0.25">
      <c r="A84" s="208" t="s">
        <v>261</v>
      </c>
      <c r="B84" s="209" t="s">
        <v>264</v>
      </c>
      <c r="C84" s="1">
        <v>5</v>
      </c>
      <c r="D84" s="210"/>
      <c r="F84" s="63"/>
      <c r="G84" s="209"/>
      <c r="H84" s="1"/>
      <c r="I84" s="221"/>
    </row>
    <row r="85" spans="1:9" ht="22.5" customHeight="1" x14ac:dyDescent="0.25">
      <c r="A85" s="208" t="s">
        <v>261</v>
      </c>
      <c r="B85" s="209" t="s">
        <v>59</v>
      </c>
      <c r="C85" s="1">
        <v>5</v>
      </c>
      <c r="D85" s="210"/>
      <c r="F85" s="63"/>
      <c r="G85" s="209"/>
      <c r="H85" s="1"/>
      <c r="I85" s="221"/>
    </row>
    <row r="86" spans="1:9" ht="22.5" customHeight="1" x14ac:dyDescent="0.25">
      <c r="A86" s="208" t="s">
        <v>261</v>
      </c>
      <c r="B86" s="209" t="s">
        <v>38</v>
      </c>
      <c r="C86" s="1">
        <v>10</v>
      </c>
      <c r="D86" s="210"/>
      <c r="F86" s="63"/>
      <c r="G86" s="209"/>
      <c r="H86" s="1"/>
      <c r="I86" s="221"/>
    </row>
    <row r="87" spans="1:9" ht="22.5" customHeight="1" x14ac:dyDescent="0.25">
      <c r="A87" s="208" t="s">
        <v>261</v>
      </c>
      <c r="B87" s="209" t="s">
        <v>265</v>
      </c>
      <c r="C87" s="1">
        <v>5</v>
      </c>
      <c r="D87" s="210"/>
      <c r="F87" s="63"/>
      <c r="G87" s="209"/>
      <c r="H87" s="1"/>
      <c r="I87" s="221"/>
    </row>
    <row r="88" spans="1:9" ht="22.5" customHeight="1" x14ac:dyDescent="0.25">
      <c r="A88" s="208" t="s">
        <v>261</v>
      </c>
      <c r="B88" s="209" t="s">
        <v>266</v>
      </c>
      <c r="C88" s="1">
        <v>5</v>
      </c>
      <c r="D88" s="210"/>
      <c r="F88" s="63"/>
      <c r="G88" s="209"/>
      <c r="H88" s="1"/>
      <c r="I88" s="221"/>
    </row>
    <row r="89" spans="1:9" ht="22.5" customHeight="1" x14ac:dyDescent="0.25">
      <c r="A89" s="208" t="s">
        <v>261</v>
      </c>
      <c r="B89" s="209" t="s">
        <v>227</v>
      </c>
      <c r="C89" s="1">
        <v>1</v>
      </c>
      <c r="D89" s="210"/>
      <c r="F89" s="63"/>
      <c r="G89" s="209"/>
      <c r="H89" s="1"/>
      <c r="I89" s="221"/>
    </row>
    <row r="90" spans="1:9" ht="22.5" customHeight="1" x14ac:dyDescent="0.25">
      <c r="A90" s="213"/>
      <c r="B90" s="214"/>
      <c r="C90" s="215"/>
      <c r="D90" s="216">
        <v>13200</v>
      </c>
      <c r="F90" s="63"/>
      <c r="G90" s="209"/>
      <c r="H90" s="1"/>
      <c r="I90" s="221"/>
    </row>
    <row r="91" spans="1:9" ht="22.5" customHeight="1" x14ac:dyDescent="0.25">
      <c r="A91" s="200" t="s">
        <v>267</v>
      </c>
      <c r="B91" s="201" t="s">
        <v>218</v>
      </c>
      <c r="C91" s="202">
        <v>1</v>
      </c>
      <c r="D91" s="203"/>
      <c r="F91" s="63"/>
      <c r="G91" s="209"/>
      <c r="H91" s="1"/>
      <c r="I91" s="221"/>
    </row>
    <row r="92" spans="1:9" ht="22.5" customHeight="1" x14ac:dyDescent="0.25">
      <c r="A92" s="208" t="s">
        <v>267</v>
      </c>
      <c r="B92" s="209" t="s">
        <v>220</v>
      </c>
      <c r="C92" s="1">
        <v>2</v>
      </c>
      <c r="D92" s="210"/>
      <c r="F92" s="63"/>
      <c r="G92" s="209"/>
      <c r="H92" s="1"/>
      <c r="I92" s="221"/>
    </row>
    <row r="93" spans="1:9" ht="22.5" customHeight="1" x14ac:dyDescent="0.25">
      <c r="A93" s="208" t="s">
        <v>267</v>
      </c>
      <c r="B93" s="209" t="s">
        <v>222</v>
      </c>
      <c r="C93" s="1">
        <v>4</v>
      </c>
      <c r="D93" s="210"/>
      <c r="F93" s="63"/>
      <c r="G93" s="209"/>
      <c r="H93" s="1"/>
      <c r="I93" s="221"/>
    </row>
    <row r="94" spans="1:9" ht="22.5" customHeight="1" x14ac:dyDescent="0.25">
      <c r="A94" s="208" t="s">
        <v>267</v>
      </c>
      <c r="B94" s="209" t="s">
        <v>253</v>
      </c>
      <c r="C94" s="1">
        <v>5</v>
      </c>
      <c r="D94" s="210"/>
      <c r="F94" s="63"/>
      <c r="G94" s="209"/>
      <c r="H94" s="1"/>
      <c r="I94" s="221"/>
    </row>
    <row r="95" spans="1:9" ht="22.5" customHeight="1" x14ac:dyDescent="0.25">
      <c r="A95" s="208" t="s">
        <v>267</v>
      </c>
      <c r="B95" s="209" t="s">
        <v>268</v>
      </c>
      <c r="C95" s="1">
        <v>5</v>
      </c>
      <c r="D95" s="210"/>
      <c r="F95" s="63"/>
      <c r="G95" s="209"/>
      <c r="H95" s="1"/>
      <c r="I95" s="221"/>
    </row>
    <row r="96" spans="1:9" ht="22.5" customHeight="1" x14ac:dyDescent="0.25">
      <c r="A96" s="208" t="s">
        <v>267</v>
      </c>
      <c r="B96" s="209" t="s">
        <v>227</v>
      </c>
      <c r="C96" s="1">
        <v>1</v>
      </c>
      <c r="D96" s="210"/>
      <c r="F96" s="63"/>
      <c r="G96" s="209"/>
      <c r="H96" s="1"/>
      <c r="I96" s="221"/>
    </row>
    <row r="97" spans="1:9" ht="22.5" customHeight="1" x14ac:dyDescent="0.25">
      <c r="A97" s="213"/>
      <c r="B97" s="214"/>
      <c r="C97" s="215"/>
      <c r="D97" s="216">
        <v>14100</v>
      </c>
      <c r="F97" s="63"/>
      <c r="G97" s="209"/>
      <c r="H97" s="1"/>
      <c r="I97" s="221"/>
    </row>
    <row r="98" spans="1:9" ht="22.5" customHeight="1" x14ac:dyDescent="0.25">
      <c r="A98" s="222"/>
      <c r="B98" s="223" t="s">
        <v>269</v>
      </c>
      <c r="C98" s="224"/>
      <c r="D98" s="225">
        <f>AVERAGE(BORZI_BURGER[Costo Total])</f>
        <v>14373.333333333334</v>
      </c>
      <c r="F98" s="1"/>
      <c r="G98" s="226" t="s">
        <v>269</v>
      </c>
      <c r="H98" s="1"/>
      <c r="I98" s="221">
        <f>AVERAGE(THE_BURGAS[Costo Total])</f>
        <v>13688.888888888889</v>
      </c>
    </row>
    <row r="99" spans="1:9" ht="13.2" x14ac:dyDescent="0.25">
      <c r="A99" s="160"/>
      <c r="C99" s="160"/>
      <c r="D99" s="227"/>
      <c r="F99" s="160"/>
      <c r="H99" s="160"/>
      <c r="I99" s="227"/>
    </row>
    <row r="100" spans="1:9" ht="13.2" x14ac:dyDescent="0.25">
      <c r="A100" s="160"/>
      <c r="C100" s="160"/>
      <c r="D100" s="227"/>
      <c r="F100" s="160"/>
      <c r="H100" s="160"/>
      <c r="I100" s="227"/>
    </row>
    <row r="101" spans="1:9" ht="13.2" x14ac:dyDescent="0.25">
      <c r="A101" s="160"/>
      <c r="C101" s="160"/>
      <c r="D101" s="227"/>
      <c r="F101" s="160"/>
      <c r="H101" s="160"/>
      <c r="I101" s="227"/>
    </row>
    <row r="102" spans="1:9" ht="13.2" x14ac:dyDescent="0.25">
      <c r="A102" s="160"/>
      <c r="C102" s="160"/>
      <c r="D102" s="227"/>
      <c r="F102" s="160"/>
      <c r="H102" s="160"/>
      <c r="I102" s="227"/>
    </row>
    <row r="103" spans="1:9" ht="13.2" x14ac:dyDescent="0.25">
      <c r="A103" s="160"/>
      <c r="C103" s="160"/>
      <c r="D103" s="227"/>
      <c r="F103" s="160"/>
      <c r="H103" s="160"/>
      <c r="I103" s="227"/>
    </row>
    <row r="104" spans="1:9" ht="13.2" x14ac:dyDescent="0.25">
      <c r="A104" s="160"/>
      <c r="C104" s="160"/>
      <c r="D104" s="227"/>
      <c r="F104" s="160"/>
      <c r="H104" s="160"/>
      <c r="I104" s="227"/>
    </row>
    <row r="105" spans="1:9" ht="13.2" x14ac:dyDescent="0.25">
      <c r="A105" s="160"/>
      <c r="C105" s="160"/>
      <c r="D105" s="227"/>
      <c r="F105" s="160"/>
      <c r="H105" s="160"/>
      <c r="I105" s="227"/>
    </row>
    <row r="106" spans="1:9" ht="13.2" x14ac:dyDescent="0.25">
      <c r="A106" s="160"/>
      <c r="C106" s="160"/>
      <c r="D106" s="227"/>
      <c r="F106" s="160"/>
      <c r="H106" s="160"/>
      <c r="I106" s="227"/>
    </row>
    <row r="107" spans="1:9" ht="13.2" x14ac:dyDescent="0.25">
      <c r="A107" s="160"/>
      <c r="C107" s="160"/>
      <c r="D107" s="227"/>
      <c r="F107" s="160"/>
      <c r="H107" s="160"/>
      <c r="I107" s="227"/>
    </row>
    <row r="108" spans="1:9" ht="13.2" x14ac:dyDescent="0.25">
      <c r="A108" s="160"/>
      <c r="C108" s="160"/>
      <c r="D108" s="227"/>
      <c r="F108" s="160"/>
      <c r="H108" s="160"/>
      <c r="I108" s="227"/>
    </row>
    <row r="109" spans="1:9" ht="13.2" x14ac:dyDescent="0.25">
      <c r="A109" s="160"/>
      <c r="C109" s="160"/>
      <c r="D109" s="227"/>
      <c r="F109" s="160"/>
      <c r="H109" s="160"/>
      <c r="I109" s="227"/>
    </row>
    <row r="110" spans="1:9" ht="13.2" x14ac:dyDescent="0.25">
      <c r="A110" s="160"/>
      <c r="C110" s="160"/>
      <c r="D110" s="227"/>
      <c r="F110" s="160"/>
      <c r="H110" s="160"/>
      <c r="I110" s="227"/>
    </row>
    <row r="111" spans="1:9" ht="13.2" x14ac:dyDescent="0.25">
      <c r="A111" s="160"/>
      <c r="C111" s="160"/>
      <c r="D111" s="227"/>
      <c r="F111" s="160"/>
      <c r="H111" s="160"/>
      <c r="I111" s="227"/>
    </row>
    <row r="112" spans="1:9" ht="13.2" x14ac:dyDescent="0.25">
      <c r="A112" s="160"/>
      <c r="C112" s="160"/>
      <c r="D112" s="227"/>
      <c r="F112" s="160"/>
      <c r="H112" s="160"/>
      <c r="I112" s="227"/>
    </row>
    <row r="113" spans="1:9" ht="13.2" x14ac:dyDescent="0.25">
      <c r="A113" s="160"/>
      <c r="C113" s="160"/>
      <c r="D113" s="227"/>
      <c r="F113" s="160"/>
      <c r="H113" s="160"/>
      <c r="I113" s="227"/>
    </row>
    <row r="114" spans="1:9" ht="13.2" x14ac:dyDescent="0.25">
      <c r="A114" s="160"/>
      <c r="C114" s="160"/>
      <c r="D114" s="227"/>
      <c r="F114" s="160"/>
      <c r="H114" s="160"/>
      <c r="I114" s="227"/>
    </row>
    <row r="115" spans="1:9" ht="13.2" x14ac:dyDescent="0.25">
      <c r="A115" s="160"/>
      <c r="C115" s="160"/>
      <c r="D115" s="227"/>
      <c r="F115" s="160"/>
      <c r="H115" s="160"/>
      <c r="I115" s="227"/>
    </row>
    <row r="116" spans="1:9" ht="13.2" x14ac:dyDescent="0.25">
      <c r="A116" s="160"/>
      <c r="C116" s="160"/>
      <c r="D116" s="227"/>
      <c r="F116" s="160"/>
      <c r="H116" s="160"/>
      <c r="I116" s="227"/>
    </row>
    <row r="117" spans="1:9" ht="13.2" x14ac:dyDescent="0.25">
      <c r="A117" s="160"/>
      <c r="C117" s="160"/>
      <c r="D117" s="227"/>
      <c r="F117" s="160"/>
      <c r="H117" s="160"/>
      <c r="I117" s="227"/>
    </row>
    <row r="118" spans="1:9" ht="13.2" x14ac:dyDescent="0.25">
      <c r="A118" s="160"/>
      <c r="C118" s="160"/>
      <c r="D118" s="227"/>
      <c r="F118" s="160"/>
      <c r="H118" s="160"/>
      <c r="I118" s="227"/>
    </row>
    <row r="119" spans="1:9" ht="13.2" x14ac:dyDescent="0.25">
      <c r="A119" s="160"/>
      <c r="C119" s="160"/>
      <c r="D119" s="227"/>
      <c r="F119" s="160"/>
      <c r="H119" s="160"/>
      <c r="I119" s="227"/>
    </row>
    <row r="120" spans="1:9" ht="13.2" x14ac:dyDescent="0.25">
      <c r="A120" s="160"/>
      <c r="C120" s="160"/>
      <c r="D120" s="227"/>
      <c r="F120" s="160"/>
      <c r="H120" s="160"/>
      <c r="I120" s="227"/>
    </row>
    <row r="121" spans="1:9" ht="13.2" x14ac:dyDescent="0.25">
      <c r="A121" s="160"/>
      <c r="C121" s="160"/>
      <c r="D121" s="227"/>
      <c r="F121" s="160"/>
      <c r="H121" s="160"/>
      <c r="I121" s="227"/>
    </row>
    <row r="122" spans="1:9" ht="13.2" x14ac:dyDescent="0.25">
      <c r="A122" s="160"/>
      <c r="C122" s="160"/>
      <c r="D122" s="227"/>
      <c r="F122" s="160"/>
      <c r="H122" s="160"/>
      <c r="I122" s="227"/>
    </row>
    <row r="123" spans="1:9" ht="13.2" x14ac:dyDescent="0.25">
      <c r="A123" s="160"/>
      <c r="C123" s="160"/>
      <c r="D123" s="227"/>
      <c r="F123" s="160"/>
      <c r="H123" s="160"/>
      <c r="I123" s="227"/>
    </row>
    <row r="124" spans="1:9" ht="13.2" x14ac:dyDescent="0.25">
      <c r="A124" s="160"/>
      <c r="C124" s="160"/>
      <c r="D124" s="227"/>
      <c r="F124" s="160"/>
      <c r="H124" s="160"/>
      <c r="I124" s="227"/>
    </row>
    <row r="125" spans="1:9" ht="13.2" x14ac:dyDescent="0.25">
      <c r="A125" s="160"/>
      <c r="C125" s="160"/>
      <c r="D125" s="227"/>
      <c r="F125" s="160"/>
      <c r="H125" s="160"/>
      <c r="I125" s="227"/>
    </row>
    <row r="126" spans="1:9" ht="13.2" x14ac:dyDescent="0.25">
      <c r="A126" s="160"/>
      <c r="C126" s="160"/>
      <c r="D126" s="227"/>
      <c r="F126" s="160"/>
      <c r="H126" s="160"/>
      <c r="I126" s="227"/>
    </row>
    <row r="127" spans="1:9" ht="13.2" x14ac:dyDescent="0.25">
      <c r="A127" s="160"/>
      <c r="C127" s="160"/>
      <c r="D127" s="227"/>
      <c r="F127" s="160"/>
      <c r="H127" s="160"/>
      <c r="I127" s="227"/>
    </row>
    <row r="128" spans="1:9" ht="13.2" x14ac:dyDescent="0.25">
      <c r="A128" s="160"/>
      <c r="C128" s="160"/>
      <c r="D128" s="227"/>
      <c r="F128" s="160"/>
      <c r="H128" s="160"/>
      <c r="I128" s="227"/>
    </row>
    <row r="129" spans="1:9" ht="13.2" x14ac:dyDescent="0.25">
      <c r="A129" s="160"/>
      <c r="C129" s="160"/>
      <c r="D129" s="227"/>
      <c r="F129" s="160"/>
      <c r="H129" s="160"/>
      <c r="I129" s="227"/>
    </row>
    <row r="130" spans="1:9" ht="13.2" x14ac:dyDescent="0.25">
      <c r="A130" s="160"/>
      <c r="C130" s="160"/>
      <c r="D130" s="227"/>
      <c r="F130" s="160"/>
      <c r="H130" s="160"/>
      <c r="I130" s="227"/>
    </row>
    <row r="131" spans="1:9" ht="13.2" x14ac:dyDescent="0.25">
      <c r="A131" s="160"/>
      <c r="C131" s="160"/>
      <c r="D131" s="227"/>
      <c r="F131" s="160"/>
      <c r="H131" s="160"/>
      <c r="I131" s="227"/>
    </row>
    <row r="132" spans="1:9" ht="13.2" x14ac:dyDescent="0.25">
      <c r="A132" s="160"/>
      <c r="C132" s="160"/>
      <c r="D132" s="227"/>
      <c r="F132" s="160"/>
      <c r="H132" s="160"/>
      <c r="I132" s="227"/>
    </row>
    <row r="133" spans="1:9" ht="13.2" x14ac:dyDescent="0.25">
      <c r="A133" s="160"/>
      <c r="C133" s="160"/>
      <c r="D133" s="227"/>
      <c r="F133" s="160"/>
      <c r="H133" s="160"/>
      <c r="I133" s="227"/>
    </row>
    <row r="134" spans="1:9" ht="13.2" x14ac:dyDescent="0.25">
      <c r="A134" s="160"/>
      <c r="C134" s="160"/>
      <c r="D134" s="227"/>
      <c r="F134" s="160"/>
      <c r="H134" s="160"/>
      <c r="I134" s="227"/>
    </row>
    <row r="135" spans="1:9" ht="13.2" x14ac:dyDescent="0.25">
      <c r="A135" s="160"/>
      <c r="C135" s="160"/>
      <c r="D135" s="227"/>
      <c r="F135" s="160"/>
      <c r="H135" s="160"/>
      <c r="I135" s="227"/>
    </row>
    <row r="136" spans="1:9" ht="13.2" x14ac:dyDescent="0.25">
      <c r="A136" s="160"/>
      <c r="C136" s="160"/>
      <c r="D136" s="227"/>
      <c r="F136" s="160"/>
      <c r="H136" s="160"/>
      <c r="I136" s="227"/>
    </row>
    <row r="137" spans="1:9" ht="13.2" x14ac:dyDescent="0.25">
      <c r="A137" s="160"/>
      <c r="C137" s="160"/>
      <c r="D137" s="227"/>
      <c r="F137" s="160"/>
      <c r="H137" s="160"/>
      <c r="I137" s="227"/>
    </row>
    <row r="138" spans="1:9" ht="13.2" x14ac:dyDescent="0.25">
      <c r="A138" s="160"/>
      <c r="C138" s="160"/>
      <c r="D138" s="227"/>
      <c r="F138" s="160"/>
      <c r="H138" s="160"/>
      <c r="I138" s="227"/>
    </row>
    <row r="139" spans="1:9" ht="13.2" x14ac:dyDescent="0.25">
      <c r="A139" s="160"/>
      <c r="C139" s="160"/>
      <c r="D139" s="227"/>
      <c r="F139" s="160"/>
      <c r="H139" s="160"/>
      <c r="I139" s="227"/>
    </row>
    <row r="140" spans="1:9" ht="13.2" x14ac:dyDescent="0.25">
      <c r="A140" s="160"/>
      <c r="C140" s="160"/>
      <c r="D140" s="227"/>
      <c r="F140" s="160"/>
      <c r="H140" s="160"/>
      <c r="I140" s="227"/>
    </row>
    <row r="141" spans="1:9" ht="13.2" x14ac:dyDescent="0.25">
      <c r="A141" s="160"/>
      <c r="C141" s="160"/>
      <c r="D141" s="227"/>
      <c r="F141" s="160"/>
      <c r="H141" s="160"/>
      <c r="I141" s="227"/>
    </row>
    <row r="142" spans="1:9" ht="13.2" x14ac:dyDescent="0.25">
      <c r="A142" s="160"/>
      <c r="C142" s="160"/>
      <c r="D142" s="227"/>
      <c r="F142" s="160"/>
      <c r="H142" s="160"/>
      <c r="I142" s="227"/>
    </row>
    <row r="143" spans="1:9" ht="13.2" x14ac:dyDescent="0.25">
      <c r="A143" s="160"/>
      <c r="C143" s="160"/>
      <c r="D143" s="227"/>
      <c r="F143" s="160"/>
      <c r="H143" s="160"/>
      <c r="I143" s="227"/>
    </row>
    <row r="144" spans="1:9" ht="13.2" x14ac:dyDescent="0.25">
      <c r="A144" s="160"/>
      <c r="C144" s="160"/>
      <c r="D144" s="227"/>
      <c r="F144" s="160"/>
      <c r="H144" s="160"/>
      <c r="I144" s="227"/>
    </row>
    <row r="145" spans="1:9" ht="13.2" x14ac:dyDescent="0.25">
      <c r="A145" s="160"/>
      <c r="C145" s="160"/>
      <c r="D145" s="227"/>
      <c r="F145" s="160"/>
      <c r="H145" s="160"/>
      <c r="I145" s="227"/>
    </row>
    <row r="146" spans="1:9" ht="13.2" x14ac:dyDescent="0.25">
      <c r="A146" s="160"/>
      <c r="C146" s="160"/>
      <c r="D146" s="227"/>
      <c r="F146" s="160"/>
      <c r="H146" s="160"/>
      <c r="I146" s="227"/>
    </row>
    <row r="147" spans="1:9" ht="13.2" x14ac:dyDescent="0.25">
      <c r="A147" s="160"/>
      <c r="C147" s="160"/>
      <c r="D147" s="227"/>
      <c r="F147" s="160"/>
      <c r="H147" s="160"/>
      <c r="I147" s="227"/>
    </row>
    <row r="148" spans="1:9" ht="13.2" x14ac:dyDescent="0.25">
      <c r="A148" s="160"/>
      <c r="C148" s="160"/>
      <c r="D148" s="227"/>
      <c r="F148" s="160"/>
      <c r="H148" s="160"/>
      <c r="I148" s="227"/>
    </row>
    <row r="149" spans="1:9" ht="13.2" x14ac:dyDescent="0.25">
      <c r="A149" s="160"/>
      <c r="C149" s="160"/>
      <c r="D149" s="227"/>
      <c r="F149" s="160"/>
      <c r="H149" s="160"/>
      <c r="I149" s="227"/>
    </row>
    <row r="150" spans="1:9" ht="13.2" x14ac:dyDescent="0.25">
      <c r="A150" s="160"/>
      <c r="C150" s="160"/>
      <c r="D150" s="227"/>
      <c r="F150" s="160"/>
      <c r="H150" s="160"/>
      <c r="I150" s="227"/>
    </row>
    <row r="151" spans="1:9" ht="13.2" x14ac:dyDescent="0.25">
      <c r="A151" s="160"/>
      <c r="C151" s="160"/>
      <c r="D151" s="227"/>
      <c r="F151" s="160"/>
      <c r="H151" s="160"/>
      <c r="I151" s="227"/>
    </row>
    <row r="152" spans="1:9" ht="13.2" x14ac:dyDescent="0.25">
      <c r="A152" s="160"/>
      <c r="C152" s="160"/>
      <c r="D152" s="227"/>
      <c r="F152" s="160"/>
      <c r="H152" s="160"/>
      <c r="I152" s="227"/>
    </row>
    <row r="153" spans="1:9" ht="13.2" x14ac:dyDescent="0.25">
      <c r="A153" s="160"/>
      <c r="C153" s="160"/>
      <c r="D153" s="227"/>
      <c r="F153" s="160"/>
      <c r="H153" s="160"/>
      <c r="I153" s="227"/>
    </row>
    <row r="154" spans="1:9" ht="13.2" x14ac:dyDescent="0.25">
      <c r="A154" s="160"/>
      <c r="C154" s="160"/>
      <c r="D154" s="227"/>
      <c r="F154" s="160"/>
      <c r="H154" s="160"/>
      <c r="I154" s="227"/>
    </row>
    <row r="155" spans="1:9" ht="13.2" x14ac:dyDescent="0.25">
      <c r="A155" s="160"/>
      <c r="C155" s="160"/>
      <c r="D155" s="227"/>
      <c r="F155" s="160"/>
      <c r="H155" s="160"/>
      <c r="I155" s="227"/>
    </row>
    <row r="156" spans="1:9" ht="13.2" x14ac:dyDescent="0.25">
      <c r="A156" s="160"/>
      <c r="C156" s="160"/>
      <c r="D156" s="227"/>
      <c r="F156" s="160"/>
      <c r="H156" s="160"/>
      <c r="I156" s="227"/>
    </row>
    <row r="157" spans="1:9" ht="13.2" x14ac:dyDescent="0.25">
      <c r="A157" s="160"/>
      <c r="C157" s="160"/>
      <c r="D157" s="227"/>
      <c r="F157" s="160"/>
      <c r="H157" s="160"/>
      <c r="I157" s="227"/>
    </row>
    <row r="158" spans="1:9" ht="13.2" x14ac:dyDescent="0.25">
      <c r="A158" s="160"/>
      <c r="C158" s="160"/>
      <c r="D158" s="227"/>
      <c r="F158" s="160"/>
      <c r="H158" s="160"/>
      <c r="I158" s="227"/>
    </row>
    <row r="159" spans="1:9" ht="13.2" x14ac:dyDescent="0.25">
      <c r="A159" s="160"/>
      <c r="C159" s="160"/>
      <c r="D159" s="227"/>
      <c r="F159" s="160"/>
      <c r="H159" s="160"/>
      <c r="I159" s="227"/>
    </row>
    <row r="160" spans="1:9" ht="13.2" x14ac:dyDescent="0.25">
      <c r="A160" s="160"/>
      <c r="C160" s="160"/>
      <c r="D160" s="227"/>
      <c r="F160" s="160"/>
      <c r="H160" s="160"/>
      <c r="I160" s="227"/>
    </row>
    <row r="161" spans="1:9" ht="13.2" x14ac:dyDescent="0.25">
      <c r="A161" s="160"/>
      <c r="C161" s="160"/>
      <c r="D161" s="227"/>
      <c r="F161" s="160"/>
      <c r="H161" s="160"/>
      <c r="I161" s="227"/>
    </row>
    <row r="162" spans="1:9" ht="13.2" x14ac:dyDescent="0.25">
      <c r="A162" s="160"/>
      <c r="C162" s="160"/>
      <c r="D162" s="227"/>
      <c r="F162" s="160"/>
      <c r="H162" s="160"/>
      <c r="I162" s="227"/>
    </row>
    <row r="163" spans="1:9" ht="13.2" x14ac:dyDescent="0.25">
      <c r="A163" s="160"/>
      <c r="C163" s="160"/>
      <c r="D163" s="227"/>
      <c r="F163" s="160"/>
      <c r="H163" s="160"/>
      <c r="I163" s="227"/>
    </row>
    <row r="164" spans="1:9" ht="13.2" x14ac:dyDescent="0.25">
      <c r="A164" s="160"/>
      <c r="C164" s="160"/>
      <c r="D164" s="227"/>
      <c r="F164" s="160"/>
      <c r="H164" s="160"/>
      <c r="I164" s="227"/>
    </row>
    <row r="165" spans="1:9" ht="13.2" x14ac:dyDescent="0.25">
      <c r="A165" s="160"/>
      <c r="C165" s="160"/>
      <c r="D165" s="227"/>
      <c r="F165" s="160"/>
      <c r="H165" s="160"/>
      <c r="I165" s="227"/>
    </row>
    <row r="166" spans="1:9" ht="13.2" x14ac:dyDescent="0.25">
      <c r="A166" s="160"/>
      <c r="C166" s="160"/>
      <c r="D166" s="227"/>
      <c r="F166" s="160"/>
      <c r="H166" s="160"/>
      <c r="I166" s="227"/>
    </row>
    <row r="167" spans="1:9" ht="13.2" x14ac:dyDescent="0.25">
      <c r="A167" s="160"/>
      <c r="C167" s="160"/>
      <c r="D167" s="227"/>
      <c r="F167" s="160"/>
      <c r="H167" s="160"/>
      <c r="I167" s="227"/>
    </row>
    <row r="168" spans="1:9" ht="13.2" x14ac:dyDescent="0.25">
      <c r="A168" s="160"/>
      <c r="C168" s="160"/>
      <c r="D168" s="227"/>
      <c r="F168" s="160"/>
      <c r="H168" s="160"/>
      <c r="I168" s="227"/>
    </row>
    <row r="169" spans="1:9" ht="13.2" x14ac:dyDescent="0.25">
      <c r="A169" s="160"/>
      <c r="C169" s="160"/>
      <c r="D169" s="227"/>
      <c r="F169" s="160"/>
      <c r="H169" s="160"/>
      <c r="I169" s="227"/>
    </row>
    <row r="170" spans="1:9" ht="13.2" x14ac:dyDescent="0.25">
      <c r="A170" s="160"/>
      <c r="C170" s="160"/>
      <c r="D170" s="227"/>
      <c r="F170" s="160"/>
      <c r="H170" s="160"/>
      <c r="I170" s="227"/>
    </row>
    <row r="171" spans="1:9" ht="13.2" x14ac:dyDescent="0.25">
      <c r="A171" s="160"/>
      <c r="C171" s="160"/>
      <c r="D171" s="227"/>
      <c r="F171" s="160"/>
      <c r="H171" s="160"/>
      <c r="I171" s="227"/>
    </row>
    <row r="172" spans="1:9" ht="13.2" x14ac:dyDescent="0.25">
      <c r="A172" s="160"/>
      <c r="C172" s="160"/>
      <c r="D172" s="227"/>
      <c r="F172" s="160"/>
      <c r="H172" s="160"/>
      <c r="I172" s="227"/>
    </row>
    <row r="173" spans="1:9" ht="13.2" x14ac:dyDescent="0.25">
      <c r="A173" s="160"/>
      <c r="C173" s="160"/>
      <c r="D173" s="227"/>
      <c r="F173" s="160"/>
      <c r="H173" s="160"/>
      <c r="I173" s="227"/>
    </row>
    <row r="174" spans="1:9" ht="13.2" x14ac:dyDescent="0.25">
      <c r="A174" s="160"/>
      <c r="C174" s="160"/>
      <c r="D174" s="227"/>
      <c r="F174" s="160"/>
      <c r="H174" s="160"/>
      <c r="I174" s="227"/>
    </row>
    <row r="175" spans="1:9" ht="13.2" x14ac:dyDescent="0.25">
      <c r="A175" s="160"/>
      <c r="C175" s="160"/>
      <c r="D175" s="227"/>
      <c r="F175" s="160"/>
      <c r="H175" s="160"/>
      <c r="I175" s="227"/>
    </row>
    <row r="176" spans="1:9" ht="13.2" x14ac:dyDescent="0.25">
      <c r="A176" s="160"/>
      <c r="C176" s="160"/>
      <c r="D176" s="227"/>
      <c r="F176" s="160"/>
      <c r="H176" s="160"/>
      <c r="I176" s="227"/>
    </row>
    <row r="177" spans="1:9" ht="13.2" x14ac:dyDescent="0.25">
      <c r="A177" s="160"/>
      <c r="C177" s="160"/>
      <c r="D177" s="227"/>
      <c r="F177" s="160"/>
      <c r="H177" s="160"/>
      <c r="I177" s="227"/>
    </row>
    <row r="178" spans="1:9" ht="13.2" x14ac:dyDescent="0.25">
      <c r="A178" s="160"/>
      <c r="C178" s="160"/>
      <c r="D178" s="227"/>
      <c r="F178" s="160"/>
      <c r="H178" s="160"/>
      <c r="I178" s="227"/>
    </row>
    <row r="179" spans="1:9" ht="13.2" x14ac:dyDescent="0.25">
      <c r="A179" s="160"/>
      <c r="C179" s="160"/>
      <c r="D179" s="227"/>
      <c r="F179" s="160"/>
      <c r="H179" s="160"/>
      <c r="I179" s="227"/>
    </row>
    <row r="180" spans="1:9" ht="13.2" x14ac:dyDescent="0.25">
      <c r="A180" s="160"/>
      <c r="C180" s="160"/>
      <c r="D180" s="227"/>
      <c r="F180" s="160"/>
      <c r="H180" s="160"/>
      <c r="I180" s="227"/>
    </row>
    <row r="181" spans="1:9" ht="13.2" x14ac:dyDescent="0.25">
      <c r="A181" s="160"/>
      <c r="C181" s="160"/>
      <c r="D181" s="227"/>
      <c r="F181" s="160"/>
      <c r="H181" s="160"/>
      <c r="I181" s="227"/>
    </row>
    <row r="182" spans="1:9" ht="13.2" x14ac:dyDescent="0.25">
      <c r="A182" s="160"/>
      <c r="C182" s="160"/>
      <c r="D182" s="227"/>
      <c r="F182" s="160"/>
      <c r="H182" s="160"/>
      <c r="I182" s="227"/>
    </row>
    <row r="183" spans="1:9" ht="13.2" x14ac:dyDescent="0.25">
      <c r="A183" s="160"/>
      <c r="C183" s="160"/>
      <c r="D183" s="227"/>
      <c r="F183" s="160"/>
      <c r="H183" s="160"/>
      <c r="I183" s="227"/>
    </row>
    <row r="184" spans="1:9" ht="13.2" x14ac:dyDescent="0.25">
      <c r="A184" s="160"/>
      <c r="C184" s="160"/>
      <c r="D184" s="227"/>
      <c r="F184" s="160"/>
      <c r="H184" s="160"/>
      <c r="I184" s="227"/>
    </row>
    <row r="185" spans="1:9" ht="13.2" x14ac:dyDescent="0.25">
      <c r="A185" s="160"/>
      <c r="C185" s="160"/>
      <c r="D185" s="227"/>
      <c r="F185" s="160"/>
      <c r="H185" s="160"/>
      <c r="I185" s="227"/>
    </row>
    <row r="186" spans="1:9" ht="13.2" x14ac:dyDescent="0.25">
      <c r="A186" s="160"/>
      <c r="C186" s="160"/>
      <c r="D186" s="227"/>
      <c r="F186" s="160"/>
      <c r="H186" s="160"/>
      <c r="I186" s="227"/>
    </row>
    <row r="187" spans="1:9" ht="13.2" x14ac:dyDescent="0.25">
      <c r="A187" s="160"/>
      <c r="C187" s="160"/>
      <c r="D187" s="227"/>
      <c r="F187" s="160"/>
      <c r="H187" s="160"/>
      <c r="I187" s="227"/>
    </row>
    <row r="188" spans="1:9" ht="13.2" x14ac:dyDescent="0.25">
      <c r="A188" s="160"/>
      <c r="C188" s="160"/>
      <c r="D188" s="227"/>
      <c r="F188" s="160"/>
      <c r="H188" s="160"/>
      <c r="I188" s="227"/>
    </row>
    <row r="189" spans="1:9" ht="13.2" x14ac:dyDescent="0.25">
      <c r="A189" s="160"/>
      <c r="C189" s="160"/>
      <c r="D189" s="227"/>
      <c r="F189" s="160"/>
      <c r="H189" s="160"/>
      <c r="I189" s="227"/>
    </row>
    <row r="190" spans="1:9" ht="13.2" x14ac:dyDescent="0.25">
      <c r="A190" s="160"/>
      <c r="C190" s="160"/>
      <c r="D190" s="227"/>
      <c r="F190" s="160"/>
      <c r="H190" s="160"/>
      <c r="I190" s="227"/>
    </row>
    <row r="191" spans="1:9" ht="13.2" x14ac:dyDescent="0.25">
      <c r="A191" s="160"/>
      <c r="C191" s="160"/>
      <c r="D191" s="227"/>
      <c r="F191" s="160"/>
      <c r="H191" s="160"/>
      <c r="I191" s="227"/>
    </row>
    <row r="192" spans="1:9" ht="13.2" x14ac:dyDescent="0.25">
      <c r="A192" s="160"/>
      <c r="C192" s="160"/>
      <c r="D192" s="227"/>
      <c r="F192" s="160"/>
      <c r="H192" s="160"/>
      <c r="I192" s="227"/>
    </row>
    <row r="193" spans="1:9" ht="13.2" x14ac:dyDescent="0.25">
      <c r="A193" s="160"/>
      <c r="C193" s="160"/>
      <c r="D193" s="227"/>
      <c r="F193" s="160"/>
      <c r="H193" s="160"/>
      <c r="I193" s="227"/>
    </row>
    <row r="194" spans="1:9" ht="13.2" x14ac:dyDescent="0.25">
      <c r="A194" s="160"/>
      <c r="C194" s="160"/>
      <c r="D194" s="227"/>
      <c r="F194" s="160"/>
      <c r="H194" s="160"/>
      <c r="I194" s="227"/>
    </row>
    <row r="195" spans="1:9" ht="13.2" x14ac:dyDescent="0.25">
      <c r="A195" s="160"/>
      <c r="C195" s="160"/>
      <c r="D195" s="227"/>
      <c r="F195" s="160"/>
      <c r="H195" s="160"/>
      <c r="I195" s="227"/>
    </row>
    <row r="196" spans="1:9" ht="13.2" x14ac:dyDescent="0.25">
      <c r="A196" s="160"/>
      <c r="C196" s="160"/>
      <c r="D196" s="227"/>
      <c r="F196" s="160"/>
      <c r="H196" s="160"/>
      <c r="I196" s="227"/>
    </row>
    <row r="197" spans="1:9" ht="13.2" x14ac:dyDescent="0.25">
      <c r="A197" s="160"/>
      <c r="C197" s="160"/>
      <c r="D197" s="227"/>
      <c r="F197" s="160"/>
      <c r="H197" s="160"/>
      <c r="I197" s="227"/>
    </row>
    <row r="198" spans="1:9" ht="13.2" x14ac:dyDescent="0.25">
      <c r="A198" s="160"/>
      <c r="C198" s="160"/>
      <c r="D198" s="227"/>
      <c r="F198" s="160"/>
      <c r="H198" s="160"/>
      <c r="I198" s="227"/>
    </row>
    <row r="199" spans="1:9" ht="13.2" x14ac:dyDescent="0.25">
      <c r="A199" s="160"/>
      <c r="C199" s="160"/>
      <c r="D199" s="227"/>
      <c r="F199" s="160"/>
      <c r="H199" s="160"/>
      <c r="I199" s="227"/>
    </row>
    <row r="200" spans="1:9" ht="13.2" x14ac:dyDescent="0.25">
      <c r="A200" s="160"/>
      <c r="C200" s="160"/>
      <c r="D200" s="227"/>
      <c r="F200" s="160"/>
      <c r="H200" s="160"/>
      <c r="I200" s="227"/>
    </row>
    <row r="201" spans="1:9" ht="13.2" x14ac:dyDescent="0.25">
      <c r="A201" s="160"/>
      <c r="C201" s="160"/>
      <c r="D201" s="227"/>
      <c r="F201" s="160"/>
      <c r="H201" s="160"/>
      <c r="I201" s="227"/>
    </row>
    <row r="202" spans="1:9" ht="13.2" x14ac:dyDescent="0.25">
      <c r="A202" s="160"/>
      <c r="C202" s="160"/>
      <c r="D202" s="227"/>
      <c r="F202" s="160"/>
      <c r="H202" s="160"/>
      <c r="I202" s="227"/>
    </row>
    <row r="203" spans="1:9" ht="13.2" x14ac:dyDescent="0.25">
      <c r="A203" s="160"/>
      <c r="C203" s="160"/>
      <c r="D203" s="227"/>
      <c r="F203" s="160"/>
      <c r="H203" s="160"/>
      <c r="I203" s="227"/>
    </row>
    <row r="204" spans="1:9" ht="13.2" x14ac:dyDescent="0.25">
      <c r="A204" s="160"/>
      <c r="C204" s="160"/>
      <c r="D204" s="227"/>
      <c r="F204" s="160"/>
      <c r="H204" s="160"/>
      <c r="I204" s="227"/>
    </row>
    <row r="205" spans="1:9" ht="13.2" x14ac:dyDescent="0.25">
      <c r="A205" s="160"/>
      <c r="C205" s="160"/>
      <c r="D205" s="227"/>
      <c r="F205" s="160"/>
      <c r="H205" s="160"/>
      <c r="I205" s="227"/>
    </row>
    <row r="206" spans="1:9" ht="13.2" x14ac:dyDescent="0.25">
      <c r="A206" s="160"/>
      <c r="C206" s="160"/>
      <c r="D206" s="227"/>
      <c r="F206" s="160"/>
      <c r="H206" s="160"/>
      <c r="I206" s="227"/>
    </row>
    <row r="207" spans="1:9" ht="13.2" x14ac:dyDescent="0.25">
      <c r="A207" s="160"/>
      <c r="C207" s="160"/>
      <c r="D207" s="227"/>
      <c r="F207" s="160"/>
      <c r="H207" s="160"/>
      <c r="I207" s="227"/>
    </row>
    <row r="208" spans="1:9" ht="13.2" x14ac:dyDescent="0.25">
      <c r="A208" s="160"/>
      <c r="C208" s="160"/>
      <c r="D208" s="227"/>
      <c r="F208" s="160"/>
      <c r="H208" s="160"/>
      <c r="I208" s="227"/>
    </row>
    <row r="209" spans="1:9" ht="13.2" x14ac:dyDescent="0.25">
      <c r="A209" s="160"/>
      <c r="C209" s="160"/>
      <c r="D209" s="227"/>
      <c r="F209" s="160"/>
      <c r="H209" s="160"/>
      <c r="I209" s="227"/>
    </row>
    <row r="210" spans="1:9" ht="13.2" x14ac:dyDescent="0.25">
      <c r="A210" s="160"/>
      <c r="C210" s="160"/>
      <c r="D210" s="227"/>
      <c r="F210" s="160"/>
      <c r="H210" s="160"/>
      <c r="I210" s="227"/>
    </row>
    <row r="211" spans="1:9" ht="13.2" x14ac:dyDescent="0.25">
      <c r="A211" s="160"/>
      <c r="C211" s="160"/>
      <c r="D211" s="227"/>
      <c r="F211" s="160"/>
      <c r="H211" s="160"/>
      <c r="I211" s="227"/>
    </row>
    <row r="212" spans="1:9" ht="13.2" x14ac:dyDescent="0.25">
      <c r="A212" s="160"/>
      <c r="C212" s="160"/>
      <c r="D212" s="227"/>
      <c r="F212" s="160"/>
      <c r="H212" s="160"/>
      <c r="I212" s="227"/>
    </row>
    <row r="213" spans="1:9" ht="13.2" x14ac:dyDescent="0.25">
      <c r="A213" s="160"/>
      <c r="C213" s="160"/>
      <c r="D213" s="227"/>
      <c r="F213" s="160"/>
      <c r="H213" s="160"/>
      <c r="I213" s="227"/>
    </row>
    <row r="214" spans="1:9" ht="13.2" x14ac:dyDescent="0.25">
      <c r="A214" s="160"/>
      <c r="C214" s="160"/>
      <c r="D214" s="227"/>
      <c r="F214" s="160"/>
      <c r="H214" s="160"/>
      <c r="I214" s="227"/>
    </row>
    <row r="215" spans="1:9" ht="13.2" x14ac:dyDescent="0.25">
      <c r="A215" s="160"/>
      <c r="C215" s="160"/>
      <c r="D215" s="227"/>
      <c r="F215" s="160"/>
      <c r="H215" s="160"/>
      <c r="I215" s="227"/>
    </row>
    <row r="216" spans="1:9" ht="13.2" x14ac:dyDescent="0.25">
      <c r="A216" s="160"/>
      <c r="C216" s="160"/>
      <c r="D216" s="227"/>
      <c r="F216" s="160"/>
      <c r="H216" s="160"/>
      <c r="I216" s="227"/>
    </row>
    <row r="217" spans="1:9" ht="13.2" x14ac:dyDescent="0.25">
      <c r="A217" s="160"/>
      <c r="C217" s="160"/>
      <c r="D217" s="227"/>
      <c r="F217" s="160"/>
      <c r="H217" s="160"/>
      <c r="I217" s="227"/>
    </row>
    <row r="218" spans="1:9" ht="13.2" x14ac:dyDescent="0.25">
      <c r="A218" s="160"/>
      <c r="C218" s="160"/>
      <c r="D218" s="227"/>
      <c r="F218" s="160"/>
      <c r="H218" s="160"/>
      <c r="I218" s="227"/>
    </row>
    <row r="219" spans="1:9" ht="13.2" x14ac:dyDescent="0.25">
      <c r="A219" s="160"/>
      <c r="C219" s="160"/>
      <c r="D219" s="227"/>
      <c r="F219" s="160"/>
      <c r="H219" s="160"/>
      <c r="I219" s="227"/>
    </row>
    <row r="220" spans="1:9" ht="13.2" x14ac:dyDescent="0.25">
      <c r="A220" s="160"/>
      <c r="C220" s="160"/>
      <c r="D220" s="227"/>
      <c r="F220" s="160"/>
      <c r="H220" s="160"/>
      <c r="I220" s="227"/>
    </row>
    <row r="221" spans="1:9" ht="13.2" x14ac:dyDescent="0.25">
      <c r="A221" s="160"/>
      <c r="C221" s="160"/>
      <c r="D221" s="227"/>
      <c r="F221" s="160"/>
      <c r="H221" s="160"/>
      <c r="I221" s="227"/>
    </row>
    <row r="222" spans="1:9" ht="13.2" x14ac:dyDescent="0.25">
      <c r="A222" s="160"/>
      <c r="C222" s="160"/>
      <c r="D222" s="227"/>
      <c r="F222" s="160"/>
      <c r="H222" s="160"/>
      <c r="I222" s="227"/>
    </row>
    <row r="223" spans="1:9" ht="13.2" x14ac:dyDescent="0.25">
      <c r="A223" s="160"/>
      <c r="C223" s="160"/>
      <c r="D223" s="227"/>
      <c r="F223" s="160"/>
      <c r="H223" s="160"/>
      <c r="I223" s="227"/>
    </row>
    <row r="224" spans="1:9" ht="13.2" x14ac:dyDescent="0.25">
      <c r="A224" s="160"/>
      <c r="C224" s="160"/>
      <c r="D224" s="227"/>
      <c r="F224" s="160"/>
      <c r="H224" s="160"/>
      <c r="I224" s="227"/>
    </row>
    <row r="225" spans="1:9" ht="13.2" x14ac:dyDescent="0.25">
      <c r="A225" s="160"/>
      <c r="C225" s="160"/>
      <c r="D225" s="227"/>
      <c r="F225" s="160"/>
      <c r="H225" s="160"/>
      <c r="I225" s="227"/>
    </row>
    <row r="226" spans="1:9" ht="13.2" x14ac:dyDescent="0.25">
      <c r="A226" s="160"/>
      <c r="C226" s="160"/>
      <c r="D226" s="227"/>
      <c r="F226" s="160"/>
      <c r="H226" s="160"/>
      <c r="I226" s="227"/>
    </row>
    <row r="227" spans="1:9" ht="13.2" x14ac:dyDescent="0.25">
      <c r="A227" s="160"/>
      <c r="C227" s="160"/>
      <c r="D227" s="227"/>
      <c r="F227" s="160"/>
      <c r="H227" s="160"/>
      <c r="I227" s="227"/>
    </row>
    <row r="228" spans="1:9" ht="13.2" x14ac:dyDescent="0.25">
      <c r="A228" s="160"/>
      <c r="C228" s="160"/>
      <c r="D228" s="227"/>
      <c r="F228" s="160"/>
      <c r="H228" s="160"/>
      <c r="I228" s="227"/>
    </row>
    <row r="229" spans="1:9" ht="13.2" x14ac:dyDescent="0.25">
      <c r="A229" s="160"/>
      <c r="C229" s="160"/>
      <c r="D229" s="227"/>
      <c r="F229" s="160"/>
      <c r="H229" s="160"/>
      <c r="I229" s="227"/>
    </row>
    <row r="230" spans="1:9" ht="13.2" x14ac:dyDescent="0.25">
      <c r="A230" s="160"/>
      <c r="C230" s="160"/>
      <c r="D230" s="227"/>
      <c r="F230" s="160"/>
      <c r="H230" s="160"/>
      <c r="I230" s="227"/>
    </row>
    <row r="231" spans="1:9" ht="13.2" x14ac:dyDescent="0.25">
      <c r="A231" s="160"/>
      <c r="C231" s="160"/>
      <c r="D231" s="227"/>
      <c r="F231" s="160"/>
      <c r="H231" s="160"/>
      <c r="I231" s="227"/>
    </row>
    <row r="232" spans="1:9" ht="13.2" x14ac:dyDescent="0.25">
      <c r="A232" s="160"/>
      <c r="C232" s="160"/>
      <c r="D232" s="227"/>
      <c r="F232" s="160"/>
      <c r="H232" s="160"/>
      <c r="I232" s="227"/>
    </row>
    <row r="233" spans="1:9" ht="13.2" x14ac:dyDescent="0.25">
      <c r="A233" s="160"/>
      <c r="C233" s="160"/>
      <c r="D233" s="227"/>
      <c r="F233" s="160"/>
      <c r="H233" s="160"/>
      <c r="I233" s="227"/>
    </row>
    <row r="234" spans="1:9" ht="13.2" x14ac:dyDescent="0.25">
      <c r="A234" s="160"/>
      <c r="C234" s="160"/>
      <c r="D234" s="227"/>
      <c r="F234" s="160"/>
      <c r="H234" s="160"/>
      <c r="I234" s="227"/>
    </row>
    <row r="235" spans="1:9" ht="13.2" x14ac:dyDescent="0.25">
      <c r="A235" s="160"/>
      <c r="C235" s="160"/>
      <c r="D235" s="227"/>
      <c r="F235" s="160"/>
      <c r="H235" s="160"/>
      <c r="I235" s="227"/>
    </row>
    <row r="236" spans="1:9" ht="13.2" x14ac:dyDescent="0.25">
      <c r="A236" s="160"/>
      <c r="C236" s="160"/>
      <c r="D236" s="227"/>
      <c r="F236" s="160"/>
      <c r="H236" s="160"/>
      <c r="I236" s="227"/>
    </row>
    <row r="237" spans="1:9" ht="13.2" x14ac:dyDescent="0.25">
      <c r="A237" s="160"/>
      <c r="C237" s="160"/>
      <c r="D237" s="227"/>
      <c r="F237" s="160"/>
      <c r="H237" s="160"/>
      <c r="I237" s="227"/>
    </row>
    <row r="238" spans="1:9" ht="13.2" x14ac:dyDescent="0.25">
      <c r="A238" s="160"/>
      <c r="C238" s="160"/>
      <c r="D238" s="227"/>
      <c r="F238" s="160"/>
      <c r="H238" s="160"/>
      <c r="I238" s="227"/>
    </row>
    <row r="239" spans="1:9" ht="13.2" x14ac:dyDescent="0.25">
      <c r="A239" s="160"/>
      <c r="C239" s="160"/>
      <c r="D239" s="227"/>
      <c r="F239" s="160"/>
      <c r="H239" s="160"/>
      <c r="I239" s="227"/>
    </row>
    <row r="240" spans="1:9" ht="13.2" x14ac:dyDescent="0.25">
      <c r="A240" s="160"/>
      <c r="C240" s="160"/>
      <c r="D240" s="227"/>
      <c r="F240" s="160"/>
      <c r="H240" s="160"/>
      <c r="I240" s="227"/>
    </row>
    <row r="241" spans="1:9" ht="13.2" x14ac:dyDescent="0.25">
      <c r="A241" s="160"/>
      <c r="C241" s="160"/>
      <c r="D241" s="227"/>
      <c r="F241" s="160"/>
      <c r="H241" s="160"/>
      <c r="I241" s="227"/>
    </row>
    <row r="242" spans="1:9" ht="13.2" x14ac:dyDescent="0.25">
      <c r="A242" s="160"/>
      <c r="C242" s="160"/>
      <c r="D242" s="227"/>
      <c r="F242" s="160"/>
      <c r="H242" s="160"/>
      <c r="I242" s="227"/>
    </row>
    <row r="243" spans="1:9" ht="13.2" x14ac:dyDescent="0.25">
      <c r="A243" s="160"/>
      <c r="C243" s="160"/>
      <c r="D243" s="227"/>
      <c r="F243" s="160"/>
      <c r="H243" s="160"/>
      <c r="I243" s="227"/>
    </row>
    <row r="244" spans="1:9" ht="13.2" x14ac:dyDescent="0.25">
      <c r="A244" s="160"/>
      <c r="C244" s="160"/>
      <c r="D244" s="227"/>
      <c r="F244" s="160"/>
      <c r="H244" s="160"/>
      <c r="I244" s="227"/>
    </row>
    <row r="245" spans="1:9" ht="13.2" x14ac:dyDescent="0.25">
      <c r="A245" s="160"/>
      <c r="C245" s="160"/>
      <c r="D245" s="227"/>
      <c r="F245" s="160"/>
      <c r="H245" s="160"/>
      <c r="I245" s="227"/>
    </row>
    <row r="246" spans="1:9" ht="13.2" x14ac:dyDescent="0.25">
      <c r="A246" s="160"/>
      <c r="C246" s="160"/>
      <c r="D246" s="227"/>
      <c r="F246" s="160"/>
      <c r="H246" s="160"/>
      <c r="I246" s="227"/>
    </row>
    <row r="247" spans="1:9" ht="13.2" x14ac:dyDescent="0.25">
      <c r="A247" s="160"/>
      <c r="C247" s="160"/>
      <c r="D247" s="227"/>
      <c r="F247" s="160"/>
      <c r="H247" s="160"/>
      <c r="I247" s="227"/>
    </row>
    <row r="248" spans="1:9" ht="13.2" x14ac:dyDescent="0.25">
      <c r="A248" s="160"/>
      <c r="C248" s="160"/>
      <c r="D248" s="227"/>
      <c r="F248" s="160"/>
      <c r="H248" s="160"/>
      <c r="I248" s="227"/>
    </row>
    <row r="249" spans="1:9" ht="13.2" x14ac:dyDescent="0.25">
      <c r="A249" s="160"/>
      <c r="C249" s="160"/>
      <c r="D249" s="227"/>
      <c r="F249" s="160"/>
      <c r="H249" s="160"/>
      <c r="I249" s="227"/>
    </row>
    <row r="250" spans="1:9" ht="13.2" x14ac:dyDescent="0.25">
      <c r="A250" s="160"/>
      <c r="C250" s="160"/>
      <c r="D250" s="227"/>
      <c r="F250" s="160"/>
      <c r="H250" s="160"/>
      <c r="I250" s="227"/>
    </row>
    <row r="251" spans="1:9" ht="13.2" x14ac:dyDescent="0.25">
      <c r="A251" s="160"/>
      <c r="C251" s="160"/>
      <c r="D251" s="227"/>
      <c r="F251" s="160"/>
      <c r="H251" s="160"/>
      <c r="I251" s="227"/>
    </row>
    <row r="252" spans="1:9" ht="13.2" x14ac:dyDescent="0.25">
      <c r="A252" s="160"/>
      <c r="C252" s="160"/>
      <c r="D252" s="227"/>
      <c r="F252" s="160"/>
      <c r="H252" s="160"/>
      <c r="I252" s="227"/>
    </row>
    <row r="253" spans="1:9" ht="13.2" x14ac:dyDescent="0.25">
      <c r="A253" s="160"/>
      <c r="C253" s="160"/>
      <c r="D253" s="227"/>
      <c r="F253" s="160"/>
      <c r="H253" s="160"/>
      <c r="I253" s="227"/>
    </row>
    <row r="254" spans="1:9" ht="13.2" x14ac:dyDescent="0.25">
      <c r="A254" s="160"/>
      <c r="C254" s="160"/>
      <c r="D254" s="227"/>
      <c r="F254" s="160"/>
      <c r="H254" s="160"/>
      <c r="I254" s="227"/>
    </row>
    <row r="255" spans="1:9" ht="13.2" x14ac:dyDescent="0.25">
      <c r="A255" s="160"/>
      <c r="C255" s="160"/>
      <c r="D255" s="227"/>
      <c r="F255" s="160"/>
      <c r="H255" s="160"/>
      <c r="I255" s="227"/>
    </row>
    <row r="256" spans="1:9" ht="13.2" x14ac:dyDescent="0.25">
      <c r="A256" s="160"/>
      <c r="C256" s="160"/>
      <c r="D256" s="227"/>
      <c r="F256" s="160"/>
      <c r="H256" s="160"/>
      <c r="I256" s="227"/>
    </row>
    <row r="257" spans="1:9" ht="13.2" x14ac:dyDescent="0.25">
      <c r="A257" s="160"/>
      <c r="C257" s="160"/>
      <c r="D257" s="227"/>
      <c r="F257" s="160"/>
      <c r="H257" s="160"/>
      <c r="I257" s="227"/>
    </row>
    <row r="258" spans="1:9" ht="13.2" x14ac:dyDescent="0.25">
      <c r="A258" s="160"/>
      <c r="C258" s="160"/>
      <c r="D258" s="227"/>
      <c r="F258" s="160"/>
      <c r="H258" s="160"/>
      <c r="I258" s="227"/>
    </row>
    <row r="259" spans="1:9" ht="13.2" x14ac:dyDescent="0.25">
      <c r="A259" s="160"/>
      <c r="C259" s="160"/>
      <c r="D259" s="227"/>
      <c r="F259" s="160"/>
      <c r="H259" s="160"/>
      <c r="I259" s="227"/>
    </row>
    <row r="260" spans="1:9" ht="13.2" x14ac:dyDescent="0.25">
      <c r="A260" s="160"/>
      <c r="C260" s="160"/>
      <c r="D260" s="227"/>
      <c r="F260" s="160"/>
      <c r="H260" s="160"/>
      <c r="I260" s="227"/>
    </row>
    <row r="261" spans="1:9" ht="13.2" x14ac:dyDescent="0.25">
      <c r="A261" s="160"/>
      <c r="C261" s="160"/>
      <c r="D261" s="227"/>
      <c r="F261" s="160"/>
      <c r="H261" s="160"/>
      <c r="I261" s="227"/>
    </row>
    <row r="262" spans="1:9" ht="13.2" x14ac:dyDescent="0.25">
      <c r="A262" s="160"/>
      <c r="C262" s="160"/>
      <c r="D262" s="227"/>
      <c r="F262" s="160"/>
      <c r="H262" s="160"/>
      <c r="I262" s="227"/>
    </row>
    <row r="263" spans="1:9" ht="13.2" x14ac:dyDescent="0.25">
      <c r="A263" s="160"/>
      <c r="C263" s="160"/>
      <c r="D263" s="227"/>
      <c r="F263" s="160"/>
      <c r="H263" s="160"/>
      <c r="I263" s="227"/>
    </row>
    <row r="264" spans="1:9" ht="13.2" x14ac:dyDescent="0.25">
      <c r="A264" s="160"/>
      <c r="C264" s="160"/>
      <c r="D264" s="227"/>
      <c r="F264" s="160"/>
      <c r="H264" s="160"/>
      <c r="I264" s="227"/>
    </row>
    <row r="265" spans="1:9" ht="13.2" x14ac:dyDescent="0.25">
      <c r="A265" s="160"/>
      <c r="C265" s="160"/>
      <c r="D265" s="227"/>
      <c r="F265" s="160"/>
      <c r="H265" s="160"/>
      <c r="I265" s="227"/>
    </row>
    <row r="266" spans="1:9" ht="13.2" x14ac:dyDescent="0.25">
      <c r="A266" s="160"/>
      <c r="C266" s="160"/>
      <c r="D266" s="227"/>
      <c r="F266" s="160"/>
      <c r="H266" s="160"/>
      <c r="I266" s="227"/>
    </row>
    <row r="267" spans="1:9" ht="13.2" x14ac:dyDescent="0.25">
      <c r="A267" s="160"/>
      <c r="C267" s="160"/>
      <c r="D267" s="227"/>
      <c r="F267" s="160"/>
      <c r="H267" s="160"/>
      <c r="I267" s="227"/>
    </row>
    <row r="268" spans="1:9" ht="13.2" x14ac:dyDescent="0.25">
      <c r="A268" s="160"/>
      <c r="C268" s="160"/>
      <c r="D268" s="227"/>
      <c r="F268" s="160"/>
      <c r="H268" s="160"/>
      <c r="I268" s="227"/>
    </row>
    <row r="269" spans="1:9" ht="13.2" x14ac:dyDescent="0.25">
      <c r="A269" s="160"/>
      <c r="C269" s="160"/>
      <c r="D269" s="227"/>
      <c r="F269" s="160"/>
      <c r="H269" s="160"/>
      <c r="I269" s="227"/>
    </row>
    <row r="270" spans="1:9" ht="13.2" x14ac:dyDescent="0.25">
      <c r="A270" s="160"/>
      <c r="C270" s="160"/>
      <c r="D270" s="227"/>
      <c r="F270" s="160"/>
      <c r="H270" s="160"/>
      <c r="I270" s="227"/>
    </row>
    <row r="271" spans="1:9" ht="13.2" x14ac:dyDescent="0.25">
      <c r="A271" s="160"/>
      <c r="C271" s="160"/>
      <c r="D271" s="227"/>
      <c r="F271" s="160"/>
      <c r="H271" s="160"/>
      <c r="I271" s="227"/>
    </row>
    <row r="272" spans="1:9" ht="13.2" x14ac:dyDescent="0.25">
      <c r="A272" s="160"/>
      <c r="C272" s="160"/>
      <c r="D272" s="227"/>
      <c r="F272" s="160"/>
      <c r="H272" s="160"/>
      <c r="I272" s="227"/>
    </row>
    <row r="273" spans="1:9" ht="13.2" x14ac:dyDescent="0.25">
      <c r="A273" s="160"/>
      <c r="C273" s="160"/>
      <c r="D273" s="227"/>
      <c r="F273" s="160"/>
      <c r="H273" s="160"/>
      <c r="I273" s="227"/>
    </row>
    <row r="274" spans="1:9" ht="13.2" x14ac:dyDescent="0.25">
      <c r="A274" s="160"/>
      <c r="C274" s="160"/>
      <c r="D274" s="227"/>
      <c r="F274" s="160"/>
      <c r="H274" s="160"/>
      <c r="I274" s="227"/>
    </row>
    <row r="275" spans="1:9" ht="13.2" x14ac:dyDescent="0.25">
      <c r="A275" s="160"/>
      <c r="C275" s="160"/>
      <c r="D275" s="227"/>
      <c r="F275" s="160"/>
      <c r="H275" s="160"/>
      <c r="I275" s="227"/>
    </row>
    <row r="276" spans="1:9" ht="13.2" x14ac:dyDescent="0.25">
      <c r="A276" s="160"/>
      <c r="C276" s="160"/>
      <c r="D276" s="227"/>
      <c r="F276" s="160"/>
      <c r="H276" s="160"/>
      <c r="I276" s="227"/>
    </row>
    <row r="277" spans="1:9" ht="13.2" x14ac:dyDescent="0.25">
      <c r="A277" s="160"/>
      <c r="C277" s="160"/>
      <c r="D277" s="227"/>
      <c r="F277" s="160"/>
      <c r="H277" s="160"/>
      <c r="I277" s="227"/>
    </row>
    <row r="278" spans="1:9" ht="13.2" x14ac:dyDescent="0.25">
      <c r="A278" s="160"/>
      <c r="C278" s="160"/>
      <c r="D278" s="227"/>
      <c r="F278" s="160"/>
      <c r="H278" s="160"/>
      <c r="I278" s="227"/>
    </row>
    <row r="279" spans="1:9" ht="13.2" x14ac:dyDescent="0.25">
      <c r="A279" s="160"/>
      <c r="C279" s="160"/>
      <c r="D279" s="227"/>
      <c r="F279" s="160"/>
      <c r="H279" s="160"/>
      <c r="I279" s="227"/>
    </row>
    <row r="280" spans="1:9" ht="13.2" x14ac:dyDescent="0.25">
      <c r="A280" s="160"/>
      <c r="C280" s="160"/>
      <c r="D280" s="227"/>
      <c r="F280" s="160"/>
      <c r="H280" s="160"/>
      <c r="I280" s="227"/>
    </row>
    <row r="281" spans="1:9" ht="13.2" x14ac:dyDescent="0.25">
      <c r="A281" s="160"/>
      <c r="C281" s="160"/>
      <c r="D281" s="227"/>
      <c r="F281" s="160"/>
      <c r="H281" s="160"/>
      <c r="I281" s="227"/>
    </row>
    <row r="282" spans="1:9" ht="13.2" x14ac:dyDescent="0.25">
      <c r="A282" s="160"/>
      <c r="C282" s="160"/>
      <c r="D282" s="227"/>
      <c r="F282" s="160"/>
      <c r="H282" s="160"/>
      <c r="I282" s="227"/>
    </row>
    <row r="283" spans="1:9" ht="13.2" x14ac:dyDescent="0.25">
      <c r="A283" s="160"/>
      <c r="C283" s="160"/>
      <c r="D283" s="227"/>
      <c r="F283" s="160"/>
      <c r="H283" s="160"/>
      <c r="I283" s="227"/>
    </row>
    <row r="284" spans="1:9" ht="13.2" x14ac:dyDescent="0.25">
      <c r="A284" s="160"/>
      <c r="C284" s="160"/>
      <c r="D284" s="227"/>
      <c r="F284" s="160"/>
      <c r="H284" s="160"/>
      <c r="I284" s="227"/>
    </row>
    <row r="285" spans="1:9" ht="13.2" x14ac:dyDescent="0.25">
      <c r="A285" s="160"/>
      <c r="C285" s="160"/>
      <c r="D285" s="227"/>
      <c r="F285" s="160"/>
      <c r="H285" s="160"/>
      <c r="I285" s="227"/>
    </row>
    <row r="286" spans="1:9" ht="13.2" x14ac:dyDescent="0.25">
      <c r="A286" s="160"/>
      <c r="C286" s="160"/>
      <c r="D286" s="227"/>
      <c r="F286" s="160"/>
      <c r="H286" s="160"/>
      <c r="I286" s="227"/>
    </row>
    <row r="287" spans="1:9" ht="13.2" x14ac:dyDescent="0.25">
      <c r="A287" s="160"/>
      <c r="C287" s="160"/>
      <c r="D287" s="227"/>
      <c r="F287" s="160"/>
      <c r="H287" s="160"/>
      <c r="I287" s="227"/>
    </row>
    <row r="288" spans="1:9" ht="13.2" x14ac:dyDescent="0.25">
      <c r="A288" s="160"/>
      <c r="C288" s="160"/>
      <c r="D288" s="227"/>
      <c r="F288" s="160"/>
      <c r="H288" s="160"/>
      <c r="I288" s="227"/>
    </row>
    <row r="289" spans="1:9" ht="13.2" x14ac:dyDescent="0.25">
      <c r="A289" s="160"/>
      <c r="C289" s="160"/>
      <c r="D289" s="227"/>
      <c r="F289" s="160"/>
      <c r="H289" s="160"/>
      <c r="I289" s="227"/>
    </row>
    <row r="290" spans="1:9" ht="13.2" x14ac:dyDescent="0.25">
      <c r="A290" s="160"/>
      <c r="C290" s="160"/>
      <c r="D290" s="227"/>
      <c r="F290" s="160"/>
      <c r="H290" s="160"/>
      <c r="I290" s="227"/>
    </row>
    <row r="291" spans="1:9" ht="13.2" x14ac:dyDescent="0.25">
      <c r="A291" s="160"/>
      <c r="C291" s="160"/>
      <c r="D291" s="227"/>
      <c r="F291" s="160"/>
      <c r="H291" s="160"/>
      <c r="I291" s="227"/>
    </row>
    <row r="292" spans="1:9" ht="13.2" x14ac:dyDescent="0.25">
      <c r="A292" s="160"/>
      <c r="C292" s="160"/>
      <c r="D292" s="227"/>
      <c r="F292" s="160"/>
      <c r="H292" s="160"/>
      <c r="I292" s="227"/>
    </row>
    <row r="293" spans="1:9" ht="13.2" x14ac:dyDescent="0.25">
      <c r="A293" s="160"/>
      <c r="C293" s="160"/>
      <c r="D293" s="227"/>
      <c r="F293" s="160"/>
      <c r="H293" s="160"/>
      <c r="I293" s="227"/>
    </row>
    <row r="294" spans="1:9" ht="13.2" x14ac:dyDescent="0.25">
      <c r="A294" s="160"/>
      <c r="C294" s="160"/>
      <c r="D294" s="227"/>
      <c r="F294" s="160"/>
      <c r="H294" s="160"/>
      <c r="I294" s="227"/>
    </row>
    <row r="295" spans="1:9" ht="13.2" x14ac:dyDescent="0.25">
      <c r="A295" s="160"/>
      <c r="C295" s="160"/>
      <c r="D295" s="227"/>
      <c r="F295" s="160"/>
      <c r="H295" s="160"/>
      <c r="I295" s="227"/>
    </row>
    <row r="296" spans="1:9" ht="13.2" x14ac:dyDescent="0.25">
      <c r="A296" s="160"/>
      <c r="C296" s="160"/>
      <c r="D296" s="227"/>
      <c r="F296" s="160"/>
      <c r="H296" s="160"/>
      <c r="I296" s="227"/>
    </row>
    <row r="297" spans="1:9" ht="13.2" x14ac:dyDescent="0.25">
      <c r="A297" s="160"/>
      <c r="C297" s="160"/>
      <c r="D297" s="227"/>
      <c r="F297" s="160"/>
      <c r="H297" s="160"/>
      <c r="I297" s="227"/>
    </row>
    <row r="298" spans="1:9" ht="13.2" x14ac:dyDescent="0.25">
      <c r="A298" s="160"/>
      <c r="C298" s="160"/>
      <c r="D298" s="227"/>
      <c r="F298" s="160"/>
      <c r="H298" s="160"/>
      <c r="I298" s="227"/>
    </row>
    <row r="299" spans="1:9" ht="13.2" x14ac:dyDescent="0.25">
      <c r="A299" s="160"/>
      <c r="C299" s="160"/>
      <c r="D299" s="227"/>
      <c r="F299" s="160"/>
      <c r="H299" s="160"/>
      <c r="I299" s="227"/>
    </row>
    <row r="300" spans="1:9" ht="13.2" x14ac:dyDescent="0.25">
      <c r="A300" s="160"/>
      <c r="C300" s="160"/>
      <c r="D300" s="227"/>
      <c r="F300" s="160"/>
      <c r="H300" s="160"/>
      <c r="I300" s="227"/>
    </row>
    <row r="301" spans="1:9" ht="13.2" x14ac:dyDescent="0.25">
      <c r="A301" s="160"/>
      <c r="C301" s="160"/>
      <c r="D301" s="227"/>
      <c r="F301" s="160"/>
      <c r="H301" s="160"/>
      <c r="I301" s="227"/>
    </row>
    <row r="302" spans="1:9" ht="13.2" x14ac:dyDescent="0.25">
      <c r="A302" s="160"/>
      <c r="C302" s="160"/>
      <c r="D302" s="227"/>
      <c r="F302" s="160"/>
      <c r="H302" s="160"/>
      <c r="I302" s="227"/>
    </row>
    <row r="303" spans="1:9" ht="13.2" x14ac:dyDescent="0.25">
      <c r="A303" s="160"/>
      <c r="C303" s="160"/>
      <c r="D303" s="227"/>
      <c r="F303" s="160"/>
      <c r="H303" s="160"/>
      <c r="I303" s="227"/>
    </row>
    <row r="304" spans="1:9" ht="13.2" x14ac:dyDescent="0.25">
      <c r="A304" s="160"/>
      <c r="C304" s="160"/>
      <c r="D304" s="227"/>
      <c r="F304" s="160"/>
      <c r="H304" s="160"/>
      <c r="I304" s="227"/>
    </row>
    <row r="305" spans="1:9" ht="13.2" x14ac:dyDescent="0.25">
      <c r="A305" s="160"/>
      <c r="C305" s="160"/>
      <c r="D305" s="227"/>
      <c r="F305" s="160"/>
      <c r="H305" s="160"/>
      <c r="I305" s="227"/>
    </row>
    <row r="306" spans="1:9" ht="13.2" x14ac:dyDescent="0.25">
      <c r="A306" s="160"/>
      <c r="C306" s="160"/>
      <c r="D306" s="227"/>
      <c r="F306" s="160"/>
      <c r="H306" s="160"/>
      <c r="I306" s="227"/>
    </row>
    <row r="307" spans="1:9" ht="13.2" x14ac:dyDescent="0.25">
      <c r="A307" s="160"/>
      <c r="C307" s="160"/>
      <c r="D307" s="227"/>
      <c r="F307" s="160"/>
      <c r="H307" s="160"/>
      <c r="I307" s="227"/>
    </row>
    <row r="308" spans="1:9" ht="13.2" x14ac:dyDescent="0.25">
      <c r="A308" s="160"/>
      <c r="C308" s="160"/>
      <c r="D308" s="227"/>
      <c r="F308" s="160"/>
      <c r="H308" s="160"/>
      <c r="I308" s="227"/>
    </row>
    <row r="309" spans="1:9" ht="13.2" x14ac:dyDescent="0.25">
      <c r="A309" s="160"/>
      <c r="C309" s="160"/>
      <c r="D309" s="227"/>
      <c r="F309" s="160"/>
      <c r="H309" s="160"/>
      <c r="I309" s="227"/>
    </row>
    <row r="310" spans="1:9" ht="13.2" x14ac:dyDescent="0.25">
      <c r="A310" s="160"/>
      <c r="C310" s="160"/>
      <c r="D310" s="227"/>
      <c r="F310" s="160"/>
      <c r="H310" s="160"/>
      <c r="I310" s="227"/>
    </row>
    <row r="311" spans="1:9" ht="13.2" x14ac:dyDescent="0.25">
      <c r="A311" s="160"/>
      <c r="C311" s="160"/>
      <c r="D311" s="227"/>
      <c r="F311" s="160"/>
      <c r="H311" s="160"/>
      <c r="I311" s="227"/>
    </row>
    <row r="312" spans="1:9" ht="13.2" x14ac:dyDescent="0.25">
      <c r="A312" s="160"/>
      <c r="C312" s="160"/>
      <c r="D312" s="227"/>
      <c r="F312" s="160"/>
      <c r="H312" s="160"/>
      <c r="I312" s="227"/>
    </row>
    <row r="313" spans="1:9" ht="13.2" x14ac:dyDescent="0.25">
      <c r="A313" s="160"/>
      <c r="C313" s="160"/>
      <c r="D313" s="227"/>
      <c r="F313" s="160"/>
      <c r="H313" s="160"/>
      <c r="I313" s="227"/>
    </row>
    <row r="314" spans="1:9" ht="13.2" x14ac:dyDescent="0.25">
      <c r="A314" s="160"/>
      <c r="C314" s="160"/>
      <c r="D314" s="227"/>
      <c r="F314" s="160"/>
      <c r="H314" s="160"/>
      <c r="I314" s="227"/>
    </row>
    <row r="315" spans="1:9" ht="13.2" x14ac:dyDescent="0.25">
      <c r="A315" s="160"/>
      <c r="C315" s="160"/>
      <c r="D315" s="227"/>
      <c r="F315" s="160"/>
      <c r="H315" s="160"/>
      <c r="I315" s="227"/>
    </row>
    <row r="316" spans="1:9" ht="13.2" x14ac:dyDescent="0.25">
      <c r="A316" s="160"/>
      <c r="C316" s="160"/>
      <c r="D316" s="227"/>
      <c r="F316" s="160"/>
      <c r="H316" s="160"/>
      <c r="I316" s="227"/>
    </row>
    <row r="317" spans="1:9" ht="13.2" x14ac:dyDescent="0.25">
      <c r="A317" s="160"/>
      <c r="C317" s="160"/>
      <c r="D317" s="227"/>
      <c r="F317" s="160"/>
      <c r="H317" s="160"/>
      <c r="I317" s="227"/>
    </row>
    <row r="318" spans="1:9" ht="13.2" x14ac:dyDescent="0.25">
      <c r="A318" s="160"/>
      <c r="C318" s="160"/>
      <c r="D318" s="227"/>
      <c r="F318" s="160"/>
      <c r="H318" s="160"/>
      <c r="I318" s="227"/>
    </row>
    <row r="319" spans="1:9" ht="13.2" x14ac:dyDescent="0.25">
      <c r="A319" s="160"/>
      <c r="C319" s="160"/>
      <c r="D319" s="227"/>
      <c r="F319" s="160"/>
      <c r="H319" s="160"/>
      <c r="I319" s="227"/>
    </row>
    <row r="320" spans="1:9" ht="13.2" x14ac:dyDescent="0.25">
      <c r="A320" s="160"/>
      <c r="C320" s="160"/>
      <c r="D320" s="227"/>
      <c r="F320" s="160"/>
      <c r="H320" s="160"/>
      <c r="I320" s="227"/>
    </row>
    <row r="321" spans="1:9" ht="13.2" x14ac:dyDescent="0.25">
      <c r="A321" s="160"/>
      <c r="C321" s="160"/>
      <c r="D321" s="227"/>
      <c r="F321" s="160"/>
      <c r="H321" s="160"/>
      <c r="I321" s="227"/>
    </row>
    <row r="322" spans="1:9" ht="13.2" x14ac:dyDescent="0.25">
      <c r="A322" s="160"/>
      <c r="C322" s="160"/>
      <c r="D322" s="227"/>
      <c r="F322" s="160"/>
      <c r="H322" s="160"/>
      <c r="I322" s="227"/>
    </row>
    <row r="323" spans="1:9" ht="13.2" x14ac:dyDescent="0.25">
      <c r="A323" s="160"/>
      <c r="C323" s="160"/>
      <c r="D323" s="227"/>
      <c r="F323" s="160"/>
      <c r="H323" s="160"/>
      <c r="I323" s="227"/>
    </row>
    <row r="324" spans="1:9" ht="13.2" x14ac:dyDescent="0.25">
      <c r="A324" s="160"/>
      <c r="C324" s="160"/>
      <c r="D324" s="227"/>
      <c r="F324" s="160"/>
      <c r="H324" s="160"/>
      <c r="I324" s="227"/>
    </row>
    <row r="325" spans="1:9" ht="13.2" x14ac:dyDescent="0.25">
      <c r="A325" s="160"/>
      <c r="C325" s="160"/>
      <c r="D325" s="227"/>
      <c r="F325" s="160"/>
      <c r="H325" s="160"/>
      <c r="I325" s="227"/>
    </row>
    <row r="326" spans="1:9" ht="13.2" x14ac:dyDescent="0.25">
      <c r="A326" s="160"/>
      <c r="C326" s="160"/>
      <c r="D326" s="227"/>
      <c r="F326" s="160"/>
      <c r="H326" s="160"/>
      <c r="I326" s="227"/>
    </row>
    <row r="327" spans="1:9" ht="13.2" x14ac:dyDescent="0.25">
      <c r="A327" s="160"/>
      <c r="C327" s="160"/>
      <c r="D327" s="227"/>
      <c r="F327" s="160"/>
      <c r="H327" s="160"/>
      <c r="I327" s="227"/>
    </row>
    <row r="328" spans="1:9" ht="13.2" x14ac:dyDescent="0.25">
      <c r="A328" s="160"/>
      <c r="C328" s="160"/>
      <c r="D328" s="227"/>
      <c r="F328" s="160"/>
      <c r="H328" s="160"/>
      <c r="I328" s="227"/>
    </row>
    <row r="329" spans="1:9" ht="13.2" x14ac:dyDescent="0.25">
      <c r="A329" s="160"/>
      <c r="C329" s="160"/>
      <c r="D329" s="227"/>
      <c r="F329" s="160"/>
      <c r="H329" s="160"/>
      <c r="I329" s="227"/>
    </row>
    <row r="330" spans="1:9" ht="13.2" x14ac:dyDescent="0.25">
      <c r="A330" s="160"/>
      <c r="C330" s="160"/>
      <c r="D330" s="227"/>
      <c r="F330" s="160"/>
      <c r="H330" s="160"/>
      <c r="I330" s="227"/>
    </row>
    <row r="331" spans="1:9" ht="13.2" x14ac:dyDescent="0.25">
      <c r="A331" s="160"/>
      <c r="C331" s="160"/>
      <c r="D331" s="227"/>
      <c r="F331" s="160"/>
      <c r="H331" s="160"/>
      <c r="I331" s="227"/>
    </row>
    <row r="332" spans="1:9" ht="13.2" x14ac:dyDescent="0.25">
      <c r="A332" s="160"/>
      <c r="C332" s="160"/>
      <c r="D332" s="227"/>
      <c r="F332" s="160"/>
      <c r="H332" s="160"/>
      <c r="I332" s="227"/>
    </row>
    <row r="333" spans="1:9" ht="13.2" x14ac:dyDescent="0.25">
      <c r="A333" s="160"/>
      <c r="C333" s="160"/>
      <c r="D333" s="227"/>
      <c r="F333" s="160"/>
      <c r="H333" s="160"/>
      <c r="I333" s="227"/>
    </row>
    <row r="334" spans="1:9" ht="13.2" x14ac:dyDescent="0.25">
      <c r="A334" s="160"/>
      <c r="C334" s="160"/>
      <c r="D334" s="227"/>
      <c r="F334" s="160"/>
      <c r="H334" s="160"/>
      <c r="I334" s="227"/>
    </row>
    <row r="335" spans="1:9" ht="13.2" x14ac:dyDescent="0.25">
      <c r="A335" s="160"/>
      <c r="C335" s="160"/>
      <c r="D335" s="227"/>
      <c r="F335" s="160"/>
      <c r="H335" s="160"/>
      <c r="I335" s="227"/>
    </row>
    <row r="336" spans="1:9" ht="13.2" x14ac:dyDescent="0.25">
      <c r="A336" s="160"/>
      <c r="C336" s="160"/>
      <c r="D336" s="227"/>
      <c r="F336" s="160"/>
      <c r="H336" s="160"/>
      <c r="I336" s="227"/>
    </row>
    <row r="337" spans="1:9" ht="13.2" x14ac:dyDescent="0.25">
      <c r="A337" s="160"/>
      <c r="C337" s="160"/>
      <c r="D337" s="227"/>
      <c r="F337" s="160"/>
      <c r="H337" s="160"/>
      <c r="I337" s="227"/>
    </row>
    <row r="338" spans="1:9" ht="13.2" x14ac:dyDescent="0.25">
      <c r="A338" s="160"/>
      <c r="C338" s="160"/>
      <c r="D338" s="227"/>
      <c r="F338" s="160"/>
      <c r="H338" s="160"/>
      <c r="I338" s="227"/>
    </row>
    <row r="339" spans="1:9" ht="13.2" x14ac:dyDescent="0.25">
      <c r="A339" s="160"/>
      <c r="C339" s="160"/>
      <c r="D339" s="227"/>
      <c r="F339" s="160"/>
      <c r="H339" s="160"/>
      <c r="I339" s="227"/>
    </row>
    <row r="340" spans="1:9" ht="13.2" x14ac:dyDescent="0.25">
      <c r="A340" s="160"/>
      <c r="C340" s="160"/>
      <c r="D340" s="227"/>
      <c r="F340" s="160"/>
      <c r="H340" s="160"/>
      <c r="I340" s="227"/>
    </row>
    <row r="341" spans="1:9" ht="13.2" x14ac:dyDescent="0.25">
      <c r="A341" s="160"/>
      <c r="C341" s="160"/>
      <c r="D341" s="227"/>
      <c r="F341" s="160"/>
      <c r="H341" s="160"/>
      <c r="I341" s="227"/>
    </row>
    <row r="342" spans="1:9" ht="13.2" x14ac:dyDescent="0.25">
      <c r="A342" s="160"/>
      <c r="C342" s="160"/>
      <c r="D342" s="227"/>
      <c r="F342" s="160"/>
      <c r="H342" s="160"/>
      <c r="I342" s="227"/>
    </row>
    <row r="343" spans="1:9" ht="13.2" x14ac:dyDescent="0.25">
      <c r="A343" s="160"/>
      <c r="C343" s="160"/>
      <c r="D343" s="227"/>
      <c r="F343" s="160"/>
      <c r="H343" s="160"/>
      <c r="I343" s="227"/>
    </row>
    <row r="344" spans="1:9" ht="13.2" x14ac:dyDescent="0.25">
      <c r="A344" s="160"/>
      <c r="C344" s="160"/>
      <c r="D344" s="227"/>
      <c r="F344" s="160"/>
      <c r="H344" s="160"/>
      <c r="I344" s="227"/>
    </row>
    <row r="345" spans="1:9" ht="13.2" x14ac:dyDescent="0.25">
      <c r="A345" s="160"/>
      <c r="C345" s="160"/>
      <c r="D345" s="227"/>
      <c r="F345" s="160"/>
      <c r="H345" s="160"/>
      <c r="I345" s="227"/>
    </row>
    <row r="346" spans="1:9" ht="13.2" x14ac:dyDescent="0.25">
      <c r="A346" s="160"/>
      <c r="C346" s="160"/>
      <c r="D346" s="227"/>
      <c r="F346" s="160"/>
      <c r="H346" s="160"/>
      <c r="I346" s="227"/>
    </row>
    <row r="347" spans="1:9" ht="13.2" x14ac:dyDescent="0.25">
      <c r="A347" s="160"/>
      <c r="C347" s="160"/>
      <c r="D347" s="227"/>
      <c r="F347" s="160"/>
      <c r="H347" s="160"/>
      <c r="I347" s="227"/>
    </row>
    <row r="348" spans="1:9" ht="13.2" x14ac:dyDescent="0.25">
      <c r="A348" s="160"/>
      <c r="C348" s="160"/>
      <c r="D348" s="227"/>
      <c r="F348" s="160"/>
      <c r="H348" s="160"/>
      <c r="I348" s="227"/>
    </row>
    <row r="349" spans="1:9" ht="13.2" x14ac:dyDescent="0.25">
      <c r="A349" s="160"/>
      <c r="C349" s="160"/>
      <c r="D349" s="227"/>
      <c r="F349" s="160"/>
      <c r="H349" s="160"/>
      <c r="I349" s="227"/>
    </row>
    <row r="350" spans="1:9" ht="13.2" x14ac:dyDescent="0.25">
      <c r="A350" s="160"/>
      <c r="C350" s="160"/>
      <c r="D350" s="227"/>
      <c r="F350" s="160"/>
      <c r="H350" s="160"/>
      <c r="I350" s="227"/>
    </row>
    <row r="351" spans="1:9" ht="13.2" x14ac:dyDescent="0.25">
      <c r="A351" s="160"/>
      <c r="C351" s="160"/>
      <c r="D351" s="227"/>
      <c r="F351" s="160"/>
      <c r="H351" s="160"/>
      <c r="I351" s="227"/>
    </row>
    <row r="352" spans="1:9" ht="13.2" x14ac:dyDescent="0.25">
      <c r="A352" s="160"/>
      <c r="C352" s="160"/>
      <c r="D352" s="227"/>
      <c r="F352" s="160"/>
      <c r="H352" s="160"/>
      <c r="I352" s="227"/>
    </row>
    <row r="353" spans="1:9" ht="13.2" x14ac:dyDescent="0.25">
      <c r="A353" s="160"/>
      <c r="C353" s="160"/>
      <c r="D353" s="227"/>
      <c r="F353" s="160"/>
      <c r="H353" s="160"/>
      <c r="I353" s="227"/>
    </row>
    <row r="354" spans="1:9" ht="13.2" x14ac:dyDescent="0.25">
      <c r="A354" s="160"/>
      <c r="C354" s="160"/>
      <c r="D354" s="227"/>
      <c r="F354" s="160"/>
      <c r="H354" s="160"/>
      <c r="I354" s="227"/>
    </row>
    <row r="355" spans="1:9" ht="13.2" x14ac:dyDescent="0.25">
      <c r="A355" s="160"/>
      <c r="C355" s="160"/>
      <c r="D355" s="227"/>
      <c r="F355" s="160"/>
      <c r="H355" s="160"/>
      <c r="I355" s="227"/>
    </row>
    <row r="356" spans="1:9" ht="13.2" x14ac:dyDescent="0.25">
      <c r="A356" s="160"/>
      <c r="C356" s="160"/>
      <c r="D356" s="227"/>
      <c r="F356" s="160"/>
      <c r="H356" s="160"/>
      <c r="I356" s="227"/>
    </row>
    <row r="357" spans="1:9" ht="13.2" x14ac:dyDescent="0.25">
      <c r="A357" s="160"/>
      <c r="C357" s="160"/>
      <c r="D357" s="227"/>
      <c r="F357" s="160"/>
      <c r="H357" s="160"/>
      <c r="I357" s="227"/>
    </row>
    <row r="358" spans="1:9" ht="13.2" x14ac:dyDescent="0.25">
      <c r="A358" s="160"/>
      <c r="C358" s="160"/>
      <c r="D358" s="227"/>
      <c r="F358" s="160"/>
      <c r="H358" s="160"/>
      <c r="I358" s="227"/>
    </row>
    <row r="359" spans="1:9" ht="13.2" x14ac:dyDescent="0.25">
      <c r="A359" s="160"/>
      <c r="C359" s="160"/>
      <c r="D359" s="227"/>
      <c r="F359" s="160"/>
      <c r="H359" s="160"/>
      <c r="I359" s="227"/>
    </row>
    <row r="360" spans="1:9" ht="13.2" x14ac:dyDescent="0.25">
      <c r="A360" s="160"/>
      <c r="C360" s="160"/>
      <c r="D360" s="227"/>
      <c r="F360" s="160"/>
      <c r="H360" s="160"/>
      <c r="I360" s="227"/>
    </row>
    <row r="361" spans="1:9" ht="13.2" x14ac:dyDescent="0.25">
      <c r="A361" s="160"/>
      <c r="C361" s="160"/>
      <c r="D361" s="227"/>
      <c r="F361" s="160"/>
      <c r="H361" s="160"/>
      <c r="I361" s="227"/>
    </row>
    <row r="362" spans="1:9" ht="13.2" x14ac:dyDescent="0.25">
      <c r="A362" s="160"/>
      <c r="C362" s="160"/>
      <c r="D362" s="227"/>
      <c r="F362" s="160"/>
      <c r="H362" s="160"/>
      <c r="I362" s="227"/>
    </row>
    <row r="363" spans="1:9" ht="13.2" x14ac:dyDescent="0.25">
      <c r="A363" s="160"/>
      <c r="C363" s="160"/>
      <c r="D363" s="227"/>
      <c r="F363" s="160"/>
      <c r="H363" s="160"/>
      <c r="I363" s="227"/>
    </row>
    <row r="364" spans="1:9" ht="13.2" x14ac:dyDescent="0.25">
      <c r="A364" s="160"/>
      <c r="C364" s="160"/>
      <c r="D364" s="227"/>
      <c r="F364" s="160"/>
      <c r="H364" s="160"/>
      <c r="I364" s="227"/>
    </row>
    <row r="365" spans="1:9" ht="13.2" x14ac:dyDescent="0.25">
      <c r="A365" s="160"/>
      <c r="C365" s="160"/>
      <c r="D365" s="227"/>
      <c r="F365" s="160"/>
      <c r="H365" s="160"/>
      <c r="I365" s="227"/>
    </row>
    <row r="366" spans="1:9" ht="13.2" x14ac:dyDescent="0.25">
      <c r="A366" s="160"/>
      <c r="C366" s="160"/>
      <c r="D366" s="227"/>
      <c r="F366" s="160"/>
      <c r="H366" s="160"/>
      <c r="I366" s="227"/>
    </row>
    <row r="367" spans="1:9" ht="13.2" x14ac:dyDescent="0.25">
      <c r="A367" s="160"/>
      <c r="C367" s="160"/>
      <c r="D367" s="227"/>
      <c r="F367" s="160"/>
      <c r="H367" s="160"/>
      <c r="I367" s="227"/>
    </row>
    <row r="368" spans="1:9" ht="13.2" x14ac:dyDescent="0.25">
      <c r="A368" s="160"/>
      <c r="C368" s="160"/>
      <c r="D368" s="227"/>
      <c r="F368" s="160"/>
      <c r="H368" s="160"/>
      <c r="I368" s="227"/>
    </row>
    <row r="369" spans="1:9" ht="13.2" x14ac:dyDescent="0.25">
      <c r="A369" s="160"/>
      <c r="C369" s="160"/>
      <c r="D369" s="227"/>
      <c r="F369" s="160"/>
      <c r="H369" s="160"/>
      <c r="I369" s="227"/>
    </row>
    <row r="370" spans="1:9" ht="13.2" x14ac:dyDescent="0.25">
      <c r="A370" s="160"/>
      <c r="C370" s="160"/>
      <c r="D370" s="227"/>
      <c r="F370" s="160"/>
      <c r="H370" s="160"/>
      <c r="I370" s="227"/>
    </row>
    <row r="371" spans="1:9" ht="13.2" x14ac:dyDescent="0.25">
      <c r="A371" s="160"/>
      <c r="C371" s="160"/>
      <c r="D371" s="227"/>
      <c r="F371" s="160"/>
      <c r="H371" s="160"/>
      <c r="I371" s="227"/>
    </row>
    <row r="372" spans="1:9" ht="13.2" x14ac:dyDescent="0.25">
      <c r="A372" s="160"/>
      <c r="C372" s="160"/>
      <c r="D372" s="227"/>
      <c r="F372" s="160"/>
      <c r="H372" s="160"/>
      <c r="I372" s="227"/>
    </row>
    <row r="373" spans="1:9" ht="13.2" x14ac:dyDescent="0.25">
      <c r="A373" s="160"/>
      <c r="C373" s="160"/>
      <c r="D373" s="227"/>
      <c r="F373" s="160"/>
      <c r="H373" s="160"/>
      <c r="I373" s="227"/>
    </row>
    <row r="374" spans="1:9" ht="13.2" x14ac:dyDescent="0.25">
      <c r="A374" s="160"/>
      <c r="C374" s="160"/>
      <c r="D374" s="227"/>
      <c r="F374" s="160"/>
      <c r="H374" s="160"/>
      <c r="I374" s="227"/>
    </row>
    <row r="375" spans="1:9" ht="13.2" x14ac:dyDescent="0.25">
      <c r="A375" s="160"/>
      <c r="C375" s="160"/>
      <c r="D375" s="227"/>
      <c r="F375" s="160"/>
      <c r="H375" s="160"/>
      <c r="I375" s="227"/>
    </row>
    <row r="376" spans="1:9" ht="13.2" x14ac:dyDescent="0.25">
      <c r="A376" s="160"/>
      <c r="C376" s="160"/>
      <c r="D376" s="227"/>
      <c r="F376" s="160"/>
      <c r="H376" s="160"/>
      <c r="I376" s="227"/>
    </row>
    <row r="377" spans="1:9" ht="13.2" x14ac:dyDescent="0.25">
      <c r="A377" s="160"/>
      <c r="C377" s="160"/>
      <c r="D377" s="227"/>
      <c r="F377" s="160"/>
      <c r="H377" s="160"/>
      <c r="I377" s="227"/>
    </row>
    <row r="378" spans="1:9" ht="13.2" x14ac:dyDescent="0.25">
      <c r="A378" s="160"/>
      <c r="C378" s="160"/>
      <c r="D378" s="227"/>
      <c r="F378" s="160"/>
      <c r="H378" s="160"/>
      <c r="I378" s="227"/>
    </row>
    <row r="379" spans="1:9" ht="13.2" x14ac:dyDescent="0.25">
      <c r="A379" s="160"/>
      <c r="C379" s="160"/>
      <c r="D379" s="227"/>
      <c r="F379" s="160"/>
      <c r="H379" s="160"/>
      <c r="I379" s="227"/>
    </row>
    <row r="380" spans="1:9" ht="13.2" x14ac:dyDescent="0.25">
      <c r="A380" s="160"/>
      <c r="C380" s="160"/>
      <c r="D380" s="227"/>
      <c r="F380" s="160"/>
      <c r="H380" s="160"/>
      <c r="I380" s="227"/>
    </row>
    <row r="381" spans="1:9" ht="13.2" x14ac:dyDescent="0.25">
      <c r="A381" s="160"/>
      <c r="C381" s="160"/>
      <c r="D381" s="227"/>
      <c r="F381" s="160"/>
      <c r="H381" s="160"/>
      <c r="I381" s="227"/>
    </row>
    <row r="382" spans="1:9" ht="13.2" x14ac:dyDescent="0.25">
      <c r="A382" s="160"/>
      <c r="C382" s="160"/>
      <c r="D382" s="227"/>
      <c r="F382" s="160"/>
      <c r="H382" s="160"/>
      <c r="I382" s="227"/>
    </row>
    <row r="383" spans="1:9" ht="13.2" x14ac:dyDescent="0.25">
      <c r="A383" s="160"/>
      <c r="C383" s="160"/>
      <c r="D383" s="227"/>
      <c r="F383" s="160"/>
      <c r="H383" s="160"/>
      <c r="I383" s="227"/>
    </row>
    <row r="384" spans="1:9" ht="13.2" x14ac:dyDescent="0.25">
      <c r="A384" s="160"/>
      <c r="C384" s="160"/>
      <c r="D384" s="227"/>
      <c r="F384" s="160"/>
      <c r="H384" s="160"/>
      <c r="I384" s="227"/>
    </row>
    <row r="385" spans="1:9" ht="13.2" x14ac:dyDescent="0.25">
      <c r="A385" s="160"/>
      <c r="C385" s="160"/>
      <c r="D385" s="227"/>
      <c r="F385" s="160"/>
      <c r="H385" s="160"/>
      <c r="I385" s="227"/>
    </row>
    <row r="386" spans="1:9" ht="13.2" x14ac:dyDescent="0.25">
      <c r="A386" s="160"/>
      <c r="C386" s="160"/>
      <c r="D386" s="227"/>
      <c r="F386" s="160"/>
      <c r="H386" s="160"/>
      <c r="I386" s="227"/>
    </row>
    <row r="387" spans="1:9" ht="13.2" x14ac:dyDescent="0.25">
      <c r="A387" s="160"/>
      <c r="C387" s="160"/>
      <c r="D387" s="227"/>
      <c r="F387" s="160"/>
      <c r="H387" s="160"/>
      <c r="I387" s="227"/>
    </row>
    <row r="388" spans="1:9" ht="13.2" x14ac:dyDescent="0.25">
      <c r="A388" s="160"/>
      <c r="C388" s="160"/>
      <c r="D388" s="227"/>
      <c r="F388" s="160"/>
      <c r="H388" s="160"/>
      <c r="I388" s="227"/>
    </row>
    <row r="389" spans="1:9" ht="13.2" x14ac:dyDescent="0.25">
      <c r="A389" s="160"/>
      <c r="C389" s="160"/>
      <c r="D389" s="227"/>
      <c r="F389" s="160"/>
      <c r="H389" s="160"/>
      <c r="I389" s="227"/>
    </row>
    <row r="390" spans="1:9" ht="13.2" x14ac:dyDescent="0.25">
      <c r="A390" s="160"/>
      <c r="C390" s="160"/>
      <c r="D390" s="227"/>
      <c r="F390" s="160"/>
      <c r="H390" s="160"/>
      <c r="I390" s="227"/>
    </row>
    <row r="391" spans="1:9" ht="13.2" x14ac:dyDescent="0.25">
      <c r="A391" s="160"/>
      <c r="C391" s="160"/>
      <c r="D391" s="227"/>
      <c r="F391" s="160"/>
      <c r="H391" s="160"/>
      <c r="I391" s="227"/>
    </row>
    <row r="392" spans="1:9" ht="13.2" x14ac:dyDescent="0.25">
      <c r="A392" s="160"/>
      <c r="C392" s="160"/>
      <c r="D392" s="227"/>
      <c r="F392" s="160"/>
      <c r="H392" s="160"/>
      <c r="I392" s="227"/>
    </row>
    <row r="393" spans="1:9" ht="13.2" x14ac:dyDescent="0.25">
      <c r="A393" s="160"/>
      <c r="C393" s="160"/>
      <c r="D393" s="227"/>
      <c r="F393" s="160"/>
      <c r="H393" s="160"/>
      <c r="I393" s="227"/>
    </row>
    <row r="394" spans="1:9" ht="13.2" x14ac:dyDescent="0.25">
      <c r="A394" s="160"/>
      <c r="C394" s="160"/>
      <c r="D394" s="227"/>
      <c r="F394" s="160"/>
      <c r="H394" s="160"/>
      <c r="I394" s="227"/>
    </row>
    <row r="395" spans="1:9" ht="13.2" x14ac:dyDescent="0.25">
      <c r="A395" s="160"/>
      <c r="C395" s="160"/>
      <c r="D395" s="227"/>
      <c r="F395" s="160"/>
      <c r="H395" s="160"/>
      <c r="I395" s="227"/>
    </row>
    <row r="396" spans="1:9" ht="13.2" x14ac:dyDescent="0.25">
      <c r="A396" s="160"/>
      <c r="C396" s="160"/>
      <c r="D396" s="227"/>
      <c r="F396" s="160"/>
      <c r="H396" s="160"/>
      <c r="I396" s="227"/>
    </row>
    <row r="397" spans="1:9" ht="13.2" x14ac:dyDescent="0.25">
      <c r="A397" s="160"/>
      <c r="C397" s="160"/>
      <c r="D397" s="227"/>
      <c r="F397" s="160"/>
      <c r="H397" s="160"/>
      <c r="I397" s="227"/>
    </row>
    <row r="398" spans="1:9" ht="13.2" x14ac:dyDescent="0.25">
      <c r="A398" s="160"/>
      <c r="C398" s="160"/>
      <c r="D398" s="227"/>
      <c r="F398" s="160"/>
      <c r="H398" s="160"/>
      <c r="I398" s="227"/>
    </row>
    <row r="399" spans="1:9" ht="13.2" x14ac:dyDescent="0.25">
      <c r="A399" s="160"/>
      <c r="C399" s="160"/>
      <c r="D399" s="227"/>
      <c r="F399" s="160"/>
      <c r="H399" s="160"/>
      <c r="I399" s="227"/>
    </row>
    <row r="400" spans="1:9" ht="13.2" x14ac:dyDescent="0.25">
      <c r="A400" s="160"/>
      <c r="C400" s="160"/>
      <c r="D400" s="227"/>
      <c r="F400" s="160"/>
      <c r="H400" s="160"/>
      <c r="I400" s="227"/>
    </row>
    <row r="401" spans="1:9" ht="13.2" x14ac:dyDescent="0.25">
      <c r="A401" s="160"/>
      <c r="C401" s="160"/>
      <c r="D401" s="227"/>
      <c r="F401" s="160"/>
      <c r="H401" s="160"/>
      <c r="I401" s="227"/>
    </row>
    <row r="402" spans="1:9" ht="13.2" x14ac:dyDescent="0.25">
      <c r="A402" s="160"/>
      <c r="C402" s="160"/>
      <c r="D402" s="227"/>
      <c r="F402" s="160"/>
      <c r="H402" s="160"/>
      <c r="I402" s="227"/>
    </row>
    <row r="403" spans="1:9" ht="13.2" x14ac:dyDescent="0.25">
      <c r="A403" s="160"/>
      <c r="C403" s="160"/>
      <c r="D403" s="227"/>
      <c r="F403" s="160"/>
      <c r="H403" s="160"/>
      <c r="I403" s="227"/>
    </row>
    <row r="404" spans="1:9" ht="13.2" x14ac:dyDescent="0.25">
      <c r="A404" s="160"/>
      <c r="C404" s="160"/>
      <c r="D404" s="227"/>
      <c r="F404" s="160"/>
      <c r="H404" s="160"/>
      <c r="I404" s="227"/>
    </row>
    <row r="405" spans="1:9" ht="13.2" x14ac:dyDescent="0.25">
      <c r="A405" s="160"/>
      <c r="C405" s="160"/>
      <c r="D405" s="227"/>
      <c r="F405" s="160"/>
      <c r="H405" s="160"/>
      <c r="I405" s="227"/>
    </row>
    <row r="406" spans="1:9" ht="13.2" x14ac:dyDescent="0.25">
      <c r="A406" s="160"/>
      <c r="C406" s="160"/>
      <c r="D406" s="227"/>
      <c r="F406" s="160"/>
      <c r="H406" s="160"/>
      <c r="I406" s="227"/>
    </row>
    <row r="407" spans="1:9" ht="13.2" x14ac:dyDescent="0.25">
      <c r="A407" s="160"/>
      <c r="C407" s="160"/>
      <c r="D407" s="227"/>
      <c r="F407" s="160"/>
      <c r="H407" s="160"/>
      <c r="I407" s="227"/>
    </row>
    <row r="408" spans="1:9" ht="13.2" x14ac:dyDescent="0.25">
      <c r="A408" s="160"/>
      <c r="C408" s="160"/>
      <c r="D408" s="227"/>
      <c r="F408" s="160"/>
      <c r="H408" s="160"/>
      <c r="I408" s="227"/>
    </row>
    <row r="409" spans="1:9" ht="13.2" x14ac:dyDescent="0.25">
      <c r="A409" s="160"/>
      <c r="C409" s="160"/>
      <c r="D409" s="227"/>
      <c r="F409" s="160"/>
      <c r="H409" s="160"/>
      <c r="I409" s="227"/>
    </row>
    <row r="410" spans="1:9" ht="13.2" x14ac:dyDescent="0.25">
      <c r="A410" s="160"/>
      <c r="C410" s="160"/>
      <c r="D410" s="227"/>
      <c r="F410" s="160"/>
      <c r="H410" s="160"/>
      <c r="I410" s="227"/>
    </row>
    <row r="411" spans="1:9" ht="13.2" x14ac:dyDescent="0.25">
      <c r="A411" s="160"/>
      <c r="C411" s="160"/>
      <c r="D411" s="227"/>
      <c r="F411" s="160"/>
      <c r="H411" s="160"/>
      <c r="I411" s="227"/>
    </row>
    <row r="412" spans="1:9" ht="13.2" x14ac:dyDescent="0.25">
      <c r="A412" s="160"/>
      <c r="C412" s="160"/>
      <c r="D412" s="227"/>
      <c r="F412" s="160"/>
      <c r="H412" s="160"/>
      <c r="I412" s="227"/>
    </row>
    <row r="413" spans="1:9" ht="13.2" x14ac:dyDescent="0.25">
      <c r="A413" s="160"/>
      <c r="C413" s="160"/>
      <c r="D413" s="227"/>
      <c r="F413" s="160"/>
      <c r="H413" s="160"/>
      <c r="I413" s="227"/>
    </row>
    <row r="414" spans="1:9" ht="13.2" x14ac:dyDescent="0.25">
      <c r="A414" s="160"/>
      <c r="C414" s="160"/>
      <c r="D414" s="227"/>
      <c r="F414" s="160"/>
      <c r="H414" s="160"/>
      <c r="I414" s="227"/>
    </row>
    <row r="415" spans="1:9" ht="13.2" x14ac:dyDescent="0.25">
      <c r="A415" s="160"/>
      <c r="C415" s="160"/>
      <c r="D415" s="227"/>
      <c r="F415" s="160"/>
      <c r="H415" s="160"/>
      <c r="I415" s="227"/>
    </row>
    <row r="416" spans="1:9" ht="13.2" x14ac:dyDescent="0.25">
      <c r="A416" s="160"/>
      <c r="C416" s="160"/>
      <c r="D416" s="227"/>
      <c r="F416" s="160"/>
      <c r="H416" s="160"/>
      <c r="I416" s="227"/>
    </row>
    <row r="417" spans="1:9" ht="13.2" x14ac:dyDescent="0.25">
      <c r="A417" s="160"/>
      <c r="C417" s="160"/>
      <c r="D417" s="227"/>
      <c r="F417" s="160"/>
      <c r="H417" s="160"/>
      <c r="I417" s="227"/>
    </row>
    <row r="418" spans="1:9" ht="13.2" x14ac:dyDescent="0.25">
      <c r="A418" s="160"/>
      <c r="C418" s="160"/>
      <c r="D418" s="227"/>
      <c r="F418" s="160"/>
      <c r="H418" s="160"/>
      <c r="I418" s="227"/>
    </row>
    <row r="419" spans="1:9" ht="13.2" x14ac:dyDescent="0.25">
      <c r="A419" s="160"/>
      <c r="C419" s="160"/>
      <c r="D419" s="227"/>
      <c r="F419" s="160"/>
      <c r="H419" s="160"/>
      <c r="I419" s="227"/>
    </row>
    <row r="420" spans="1:9" ht="13.2" x14ac:dyDescent="0.25">
      <c r="A420" s="160"/>
      <c r="C420" s="160"/>
      <c r="D420" s="227"/>
      <c r="F420" s="160"/>
      <c r="H420" s="160"/>
      <c r="I420" s="227"/>
    </row>
    <row r="421" spans="1:9" ht="13.2" x14ac:dyDescent="0.25">
      <c r="A421" s="160"/>
      <c r="C421" s="160"/>
      <c r="D421" s="227"/>
      <c r="F421" s="160"/>
      <c r="H421" s="160"/>
      <c r="I421" s="227"/>
    </row>
    <row r="422" spans="1:9" ht="13.2" x14ac:dyDescent="0.25">
      <c r="A422" s="160"/>
      <c r="C422" s="160"/>
      <c r="D422" s="227"/>
      <c r="F422" s="160"/>
      <c r="H422" s="160"/>
      <c r="I422" s="227"/>
    </row>
    <row r="423" spans="1:9" ht="13.2" x14ac:dyDescent="0.25">
      <c r="A423" s="160"/>
      <c r="C423" s="160"/>
      <c r="D423" s="227"/>
      <c r="F423" s="160"/>
      <c r="H423" s="160"/>
      <c r="I423" s="227"/>
    </row>
    <row r="424" spans="1:9" ht="13.2" x14ac:dyDescent="0.25">
      <c r="A424" s="160"/>
      <c r="C424" s="160"/>
      <c r="D424" s="227"/>
      <c r="F424" s="160"/>
      <c r="H424" s="160"/>
      <c r="I424" s="227"/>
    </row>
    <row r="425" spans="1:9" ht="13.2" x14ac:dyDescent="0.25">
      <c r="A425" s="160"/>
      <c r="C425" s="160"/>
      <c r="D425" s="227"/>
      <c r="F425" s="160"/>
      <c r="H425" s="160"/>
      <c r="I425" s="227"/>
    </row>
    <row r="426" spans="1:9" ht="13.2" x14ac:dyDescent="0.25">
      <c r="A426" s="160"/>
      <c r="C426" s="160"/>
      <c r="D426" s="227"/>
      <c r="F426" s="160"/>
      <c r="H426" s="160"/>
      <c r="I426" s="227"/>
    </row>
    <row r="427" spans="1:9" ht="13.2" x14ac:dyDescent="0.25">
      <c r="A427" s="160"/>
      <c r="C427" s="160"/>
      <c r="D427" s="227"/>
      <c r="F427" s="160"/>
      <c r="H427" s="160"/>
      <c r="I427" s="227"/>
    </row>
    <row r="428" spans="1:9" ht="13.2" x14ac:dyDescent="0.25">
      <c r="A428" s="160"/>
      <c r="C428" s="160"/>
      <c r="D428" s="227"/>
      <c r="F428" s="160"/>
      <c r="H428" s="160"/>
      <c r="I428" s="227"/>
    </row>
    <row r="429" spans="1:9" ht="13.2" x14ac:dyDescent="0.25">
      <c r="A429" s="160"/>
      <c r="C429" s="160"/>
      <c r="D429" s="227"/>
      <c r="F429" s="160"/>
      <c r="H429" s="160"/>
      <c r="I429" s="227"/>
    </row>
    <row r="430" spans="1:9" ht="13.2" x14ac:dyDescent="0.25">
      <c r="A430" s="160"/>
      <c r="C430" s="160"/>
      <c r="D430" s="227"/>
      <c r="F430" s="160"/>
      <c r="H430" s="160"/>
      <c r="I430" s="227"/>
    </row>
    <row r="431" spans="1:9" ht="13.2" x14ac:dyDescent="0.25">
      <c r="A431" s="160"/>
      <c r="C431" s="160"/>
      <c r="D431" s="227"/>
      <c r="F431" s="160"/>
      <c r="H431" s="160"/>
      <c r="I431" s="227"/>
    </row>
    <row r="432" spans="1:9" ht="13.2" x14ac:dyDescent="0.25">
      <c r="A432" s="160"/>
      <c r="C432" s="160"/>
      <c r="D432" s="227"/>
      <c r="F432" s="160"/>
      <c r="H432" s="160"/>
      <c r="I432" s="227"/>
    </row>
    <row r="433" spans="1:9" ht="13.2" x14ac:dyDescent="0.25">
      <c r="A433" s="160"/>
      <c r="C433" s="160"/>
      <c r="D433" s="227"/>
      <c r="F433" s="160"/>
      <c r="H433" s="160"/>
      <c r="I433" s="227"/>
    </row>
    <row r="434" spans="1:9" ht="13.2" x14ac:dyDescent="0.25">
      <c r="A434" s="160"/>
      <c r="C434" s="160"/>
      <c r="D434" s="227"/>
      <c r="F434" s="160"/>
      <c r="H434" s="160"/>
      <c r="I434" s="227"/>
    </row>
    <row r="435" spans="1:9" ht="13.2" x14ac:dyDescent="0.25">
      <c r="A435" s="160"/>
      <c r="C435" s="160"/>
      <c r="D435" s="227"/>
      <c r="F435" s="160"/>
      <c r="H435" s="160"/>
      <c r="I435" s="227"/>
    </row>
    <row r="436" spans="1:9" ht="13.2" x14ac:dyDescent="0.25">
      <c r="A436" s="160"/>
      <c r="C436" s="160"/>
      <c r="D436" s="227"/>
      <c r="F436" s="160"/>
      <c r="H436" s="160"/>
      <c r="I436" s="227"/>
    </row>
    <row r="437" spans="1:9" ht="13.2" x14ac:dyDescent="0.25">
      <c r="A437" s="160"/>
      <c r="C437" s="160"/>
      <c r="D437" s="227"/>
      <c r="F437" s="160"/>
      <c r="H437" s="160"/>
      <c r="I437" s="227"/>
    </row>
    <row r="438" spans="1:9" ht="13.2" x14ac:dyDescent="0.25">
      <c r="A438" s="160"/>
      <c r="C438" s="160"/>
      <c r="D438" s="227"/>
      <c r="F438" s="160"/>
      <c r="H438" s="160"/>
      <c r="I438" s="227"/>
    </row>
    <row r="439" spans="1:9" ht="13.2" x14ac:dyDescent="0.25">
      <c r="A439" s="160"/>
      <c r="C439" s="160"/>
      <c r="D439" s="227"/>
      <c r="F439" s="160"/>
      <c r="H439" s="160"/>
      <c r="I439" s="227"/>
    </row>
    <row r="440" spans="1:9" ht="13.2" x14ac:dyDescent="0.25">
      <c r="A440" s="160"/>
      <c r="C440" s="160"/>
      <c r="D440" s="227"/>
      <c r="F440" s="160"/>
      <c r="H440" s="160"/>
      <c r="I440" s="227"/>
    </row>
    <row r="441" spans="1:9" ht="13.2" x14ac:dyDescent="0.25">
      <c r="A441" s="160"/>
      <c r="C441" s="160"/>
      <c r="D441" s="227"/>
      <c r="F441" s="160"/>
      <c r="H441" s="160"/>
      <c r="I441" s="227"/>
    </row>
    <row r="442" spans="1:9" ht="13.2" x14ac:dyDescent="0.25">
      <c r="A442" s="160"/>
      <c r="C442" s="160"/>
      <c r="D442" s="227"/>
      <c r="F442" s="160"/>
      <c r="H442" s="160"/>
      <c r="I442" s="227"/>
    </row>
    <row r="443" spans="1:9" ht="13.2" x14ac:dyDescent="0.25">
      <c r="A443" s="160"/>
      <c r="C443" s="160"/>
      <c r="D443" s="227"/>
      <c r="F443" s="160"/>
      <c r="H443" s="160"/>
      <c r="I443" s="227"/>
    </row>
    <row r="444" spans="1:9" ht="13.2" x14ac:dyDescent="0.25">
      <c r="A444" s="160"/>
      <c r="C444" s="160"/>
      <c r="D444" s="227"/>
      <c r="F444" s="160"/>
      <c r="H444" s="160"/>
      <c r="I444" s="227"/>
    </row>
    <row r="445" spans="1:9" ht="13.2" x14ac:dyDescent="0.25">
      <c r="A445" s="160"/>
      <c r="C445" s="160"/>
      <c r="D445" s="227"/>
      <c r="F445" s="160"/>
      <c r="H445" s="160"/>
      <c r="I445" s="227"/>
    </row>
    <row r="446" spans="1:9" ht="13.2" x14ac:dyDescent="0.25">
      <c r="A446" s="160"/>
      <c r="C446" s="160"/>
      <c r="D446" s="227"/>
      <c r="F446" s="160"/>
      <c r="H446" s="160"/>
      <c r="I446" s="227"/>
    </row>
    <row r="447" spans="1:9" ht="13.2" x14ac:dyDescent="0.25">
      <c r="A447" s="160"/>
      <c r="C447" s="160"/>
      <c r="D447" s="227"/>
      <c r="F447" s="160"/>
      <c r="H447" s="160"/>
      <c r="I447" s="227"/>
    </row>
    <row r="448" spans="1:9" ht="13.2" x14ac:dyDescent="0.25">
      <c r="A448" s="160"/>
      <c r="C448" s="160"/>
      <c r="D448" s="227"/>
      <c r="F448" s="160"/>
      <c r="H448" s="160"/>
      <c r="I448" s="227"/>
    </row>
    <row r="449" spans="1:9" ht="13.2" x14ac:dyDescent="0.25">
      <c r="A449" s="160"/>
      <c r="C449" s="160"/>
      <c r="D449" s="227"/>
      <c r="F449" s="160"/>
      <c r="H449" s="160"/>
      <c r="I449" s="227"/>
    </row>
    <row r="450" spans="1:9" ht="13.2" x14ac:dyDescent="0.25">
      <c r="A450" s="160"/>
      <c r="C450" s="160"/>
      <c r="D450" s="227"/>
      <c r="F450" s="160"/>
      <c r="H450" s="160"/>
      <c r="I450" s="227"/>
    </row>
    <row r="451" spans="1:9" ht="13.2" x14ac:dyDescent="0.25">
      <c r="A451" s="160"/>
      <c r="C451" s="160"/>
      <c r="D451" s="227"/>
      <c r="F451" s="160"/>
      <c r="H451" s="160"/>
      <c r="I451" s="227"/>
    </row>
    <row r="452" spans="1:9" ht="13.2" x14ac:dyDescent="0.25">
      <c r="A452" s="160"/>
      <c r="C452" s="160"/>
      <c r="D452" s="227"/>
      <c r="F452" s="160"/>
      <c r="H452" s="160"/>
      <c r="I452" s="227"/>
    </row>
    <row r="453" spans="1:9" ht="13.2" x14ac:dyDescent="0.25">
      <c r="A453" s="160"/>
      <c r="C453" s="160"/>
      <c r="D453" s="227"/>
      <c r="F453" s="160"/>
      <c r="H453" s="160"/>
      <c r="I453" s="227"/>
    </row>
    <row r="454" spans="1:9" ht="13.2" x14ac:dyDescent="0.25">
      <c r="A454" s="160"/>
      <c r="C454" s="160"/>
      <c r="D454" s="227"/>
      <c r="F454" s="160"/>
      <c r="H454" s="160"/>
      <c r="I454" s="227"/>
    </row>
    <row r="455" spans="1:9" ht="13.2" x14ac:dyDescent="0.25">
      <c r="A455" s="160"/>
      <c r="C455" s="160"/>
      <c r="D455" s="227"/>
      <c r="F455" s="160"/>
      <c r="H455" s="160"/>
      <c r="I455" s="227"/>
    </row>
    <row r="456" spans="1:9" ht="13.2" x14ac:dyDescent="0.25">
      <c r="A456" s="160"/>
      <c r="C456" s="160"/>
      <c r="D456" s="227"/>
      <c r="F456" s="160"/>
      <c r="H456" s="160"/>
      <c r="I456" s="227"/>
    </row>
    <row r="457" spans="1:9" ht="13.2" x14ac:dyDescent="0.25">
      <c r="A457" s="160"/>
      <c r="C457" s="160"/>
      <c r="D457" s="227"/>
      <c r="F457" s="160"/>
      <c r="H457" s="160"/>
      <c r="I457" s="227"/>
    </row>
    <row r="458" spans="1:9" ht="13.2" x14ac:dyDescent="0.25">
      <c r="A458" s="160"/>
      <c r="C458" s="160"/>
      <c r="D458" s="227"/>
      <c r="F458" s="160"/>
      <c r="H458" s="160"/>
      <c r="I458" s="227"/>
    </row>
    <row r="459" spans="1:9" ht="13.2" x14ac:dyDescent="0.25">
      <c r="A459" s="160"/>
      <c r="C459" s="160"/>
      <c r="D459" s="227"/>
      <c r="F459" s="160"/>
      <c r="H459" s="160"/>
      <c r="I459" s="227"/>
    </row>
    <row r="460" spans="1:9" ht="13.2" x14ac:dyDescent="0.25">
      <c r="A460" s="160"/>
      <c r="C460" s="160"/>
      <c r="D460" s="227"/>
      <c r="F460" s="160"/>
      <c r="H460" s="160"/>
      <c r="I460" s="227"/>
    </row>
    <row r="461" spans="1:9" ht="13.2" x14ac:dyDescent="0.25">
      <c r="A461" s="160"/>
      <c r="C461" s="160"/>
      <c r="D461" s="227"/>
      <c r="F461" s="160"/>
      <c r="H461" s="160"/>
      <c r="I461" s="227"/>
    </row>
    <row r="462" spans="1:9" ht="13.2" x14ac:dyDescent="0.25">
      <c r="A462" s="160"/>
      <c r="C462" s="160"/>
      <c r="D462" s="227"/>
      <c r="F462" s="160"/>
      <c r="H462" s="160"/>
      <c r="I462" s="227"/>
    </row>
    <row r="463" spans="1:9" ht="13.2" x14ac:dyDescent="0.25">
      <c r="A463" s="160"/>
      <c r="C463" s="160"/>
      <c r="D463" s="227"/>
      <c r="F463" s="160"/>
      <c r="H463" s="160"/>
      <c r="I463" s="227"/>
    </row>
    <row r="464" spans="1:9" ht="13.2" x14ac:dyDescent="0.25">
      <c r="A464" s="160"/>
      <c r="C464" s="160"/>
      <c r="D464" s="227"/>
      <c r="F464" s="160"/>
      <c r="H464" s="160"/>
      <c r="I464" s="227"/>
    </row>
    <row r="465" spans="1:9" ht="13.2" x14ac:dyDescent="0.25">
      <c r="A465" s="160"/>
      <c r="C465" s="160"/>
      <c r="D465" s="227"/>
      <c r="F465" s="160"/>
      <c r="H465" s="160"/>
      <c r="I465" s="227"/>
    </row>
    <row r="466" spans="1:9" ht="13.2" x14ac:dyDescent="0.25">
      <c r="A466" s="160"/>
      <c r="C466" s="160"/>
      <c r="D466" s="227"/>
      <c r="F466" s="160"/>
      <c r="H466" s="160"/>
      <c r="I466" s="227"/>
    </row>
    <row r="467" spans="1:9" ht="13.2" x14ac:dyDescent="0.25">
      <c r="A467" s="160"/>
      <c r="C467" s="160"/>
      <c r="D467" s="227"/>
      <c r="F467" s="160"/>
      <c r="H467" s="160"/>
      <c r="I467" s="227"/>
    </row>
    <row r="468" spans="1:9" ht="13.2" x14ac:dyDescent="0.25">
      <c r="A468" s="160"/>
      <c r="C468" s="160"/>
      <c r="D468" s="227"/>
      <c r="F468" s="160"/>
      <c r="H468" s="160"/>
      <c r="I468" s="227"/>
    </row>
    <row r="469" spans="1:9" ht="13.2" x14ac:dyDescent="0.25">
      <c r="A469" s="160"/>
      <c r="C469" s="160"/>
      <c r="D469" s="227"/>
      <c r="F469" s="160"/>
      <c r="H469" s="160"/>
      <c r="I469" s="227"/>
    </row>
    <row r="470" spans="1:9" ht="13.2" x14ac:dyDescent="0.25">
      <c r="A470" s="160"/>
      <c r="C470" s="160"/>
      <c r="D470" s="227"/>
      <c r="F470" s="160"/>
      <c r="H470" s="160"/>
      <c r="I470" s="227"/>
    </row>
    <row r="471" spans="1:9" ht="13.2" x14ac:dyDescent="0.25">
      <c r="A471" s="160"/>
      <c r="C471" s="160"/>
      <c r="D471" s="227"/>
      <c r="F471" s="160"/>
      <c r="H471" s="160"/>
      <c r="I471" s="227"/>
    </row>
    <row r="472" spans="1:9" ht="13.2" x14ac:dyDescent="0.25">
      <c r="A472" s="160"/>
      <c r="C472" s="160"/>
      <c r="D472" s="227"/>
      <c r="F472" s="160"/>
      <c r="H472" s="160"/>
      <c r="I472" s="227"/>
    </row>
    <row r="473" spans="1:9" ht="13.2" x14ac:dyDescent="0.25">
      <c r="A473" s="160"/>
      <c r="C473" s="160"/>
      <c r="D473" s="227"/>
      <c r="F473" s="160"/>
      <c r="H473" s="160"/>
      <c r="I473" s="227"/>
    </row>
    <row r="474" spans="1:9" ht="13.2" x14ac:dyDescent="0.25">
      <c r="A474" s="160"/>
      <c r="C474" s="160"/>
      <c r="D474" s="227"/>
      <c r="F474" s="160"/>
      <c r="H474" s="160"/>
      <c r="I474" s="227"/>
    </row>
    <row r="475" spans="1:9" ht="13.2" x14ac:dyDescent="0.25">
      <c r="A475" s="160"/>
      <c r="C475" s="160"/>
      <c r="D475" s="227"/>
      <c r="F475" s="160"/>
      <c r="H475" s="160"/>
      <c r="I475" s="227"/>
    </row>
    <row r="476" spans="1:9" ht="13.2" x14ac:dyDescent="0.25">
      <c r="A476" s="160"/>
      <c r="C476" s="160"/>
      <c r="D476" s="227"/>
      <c r="F476" s="160"/>
      <c r="H476" s="160"/>
      <c r="I476" s="227"/>
    </row>
    <row r="477" spans="1:9" ht="13.2" x14ac:dyDescent="0.25">
      <c r="A477" s="160"/>
      <c r="C477" s="160"/>
      <c r="D477" s="227"/>
      <c r="F477" s="160"/>
      <c r="H477" s="160"/>
      <c r="I477" s="227"/>
    </row>
    <row r="478" spans="1:9" ht="13.2" x14ac:dyDescent="0.25">
      <c r="A478" s="160"/>
      <c r="C478" s="160"/>
      <c r="D478" s="227"/>
      <c r="F478" s="160"/>
      <c r="H478" s="160"/>
      <c r="I478" s="227"/>
    </row>
    <row r="479" spans="1:9" ht="13.2" x14ac:dyDescent="0.25">
      <c r="A479" s="160"/>
      <c r="C479" s="160"/>
      <c r="D479" s="227"/>
      <c r="F479" s="160"/>
      <c r="H479" s="160"/>
      <c r="I479" s="227"/>
    </row>
    <row r="480" spans="1:9" ht="13.2" x14ac:dyDescent="0.25">
      <c r="A480" s="160"/>
      <c r="C480" s="160"/>
      <c r="D480" s="227"/>
      <c r="F480" s="160"/>
      <c r="H480" s="160"/>
      <c r="I480" s="227"/>
    </row>
    <row r="481" spans="1:9" ht="13.2" x14ac:dyDescent="0.25">
      <c r="A481" s="160"/>
      <c r="C481" s="160"/>
      <c r="D481" s="227"/>
      <c r="F481" s="160"/>
      <c r="H481" s="160"/>
      <c r="I481" s="227"/>
    </row>
    <row r="482" spans="1:9" ht="13.2" x14ac:dyDescent="0.25">
      <c r="A482" s="160"/>
      <c r="C482" s="160"/>
      <c r="D482" s="227"/>
      <c r="F482" s="160"/>
      <c r="H482" s="160"/>
      <c r="I482" s="227"/>
    </row>
    <row r="483" spans="1:9" ht="13.2" x14ac:dyDescent="0.25">
      <c r="A483" s="160"/>
      <c r="C483" s="160"/>
      <c r="D483" s="227"/>
      <c r="F483" s="160"/>
      <c r="H483" s="160"/>
      <c r="I483" s="227"/>
    </row>
    <row r="484" spans="1:9" ht="13.2" x14ac:dyDescent="0.25">
      <c r="A484" s="160"/>
      <c r="C484" s="160"/>
      <c r="D484" s="227"/>
      <c r="F484" s="160"/>
      <c r="H484" s="160"/>
      <c r="I484" s="227"/>
    </row>
    <row r="485" spans="1:9" ht="13.2" x14ac:dyDescent="0.25">
      <c r="A485" s="160"/>
      <c r="C485" s="160"/>
      <c r="D485" s="227"/>
      <c r="F485" s="160"/>
      <c r="H485" s="160"/>
      <c r="I485" s="227"/>
    </row>
    <row r="486" spans="1:9" ht="13.2" x14ac:dyDescent="0.25">
      <c r="A486" s="160"/>
      <c r="C486" s="160"/>
      <c r="D486" s="227"/>
      <c r="F486" s="160"/>
      <c r="H486" s="160"/>
      <c r="I486" s="227"/>
    </row>
    <row r="487" spans="1:9" ht="13.2" x14ac:dyDescent="0.25">
      <c r="A487" s="160"/>
      <c r="C487" s="160"/>
      <c r="D487" s="227"/>
      <c r="F487" s="160"/>
      <c r="H487" s="160"/>
      <c r="I487" s="227"/>
    </row>
    <row r="488" spans="1:9" ht="13.2" x14ac:dyDescent="0.25">
      <c r="A488" s="160"/>
      <c r="C488" s="160"/>
      <c r="D488" s="227"/>
      <c r="F488" s="160"/>
      <c r="H488" s="160"/>
      <c r="I488" s="227"/>
    </row>
    <row r="489" spans="1:9" ht="13.2" x14ac:dyDescent="0.25">
      <c r="A489" s="160"/>
      <c r="C489" s="160"/>
      <c r="D489" s="227"/>
      <c r="F489" s="160"/>
      <c r="H489" s="160"/>
      <c r="I489" s="227"/>
    </row>
    <row r="490" spans="1:9" ht="13.2" x14ac:dyDescent="0.25">
      <c r="A490" s="160"/>
      <c r="C490" s="160"/>
      <c r="D490" s="227"/>
      <c r="F490" s="160"/>
      <c r="H490" s="160"/>
      <c r="I490" s="227"/>
    </row>
  </sheetData>
  <dataValidations count="2">
    <dataValidation type="custom" allowBlank="1" showDropDown="1" sqref="D2:D97 I2:I97" xr:uid="{00000000-0002-0000-1300-000000000000}">
      <formula1>AND(ISNUMBER(D2),(NOT(OR(NOT(ISERROR(DATEVALUE(D2))), AND(ISNUMBER(D2), LEFT(CELL("format", D2))="D")))))</formula1>
    </dataValidation>
    <dataValidation allowBlank="1" showDropDown="1" sqref="A2:B97 F2:G97" xr:uid="{00000000-0002-0000-1300-000001000000}"/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RECETAS</vt:lpstr>
      <vt:lpstr>FINANCIERO</vt:lpstr>
      <vt:lpstr>CMV DIARIO</vt:lpstr>
      <vt:lpstr>CMV TOTAL 12-2025</vt:lpstr>
      <vt:lpstr>CMV TOTAL 01-2026</vt:lpstr>
      <vt:lpstr>CMV TOTAL 02-2026</vt:lpstr>
      <vt:lpstr>ResumenVentas</vt:lpstr>
      <vt:lpstr>EERR</vt:lpstr>
      <vt:lpstr>Base de Datos</vt:lpstr>
      <vt:lpstr>Agosto 2025</vt:lpstr>
      <vt:lpstr>Julio 2025</vt:lpstr>
      <vt:lpstr>Junio 2025</vt:lpstr>
      <vt:lpstr>EEMM-COMPETENCIA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Viscusi</cp:lastModifiedBy>
  <dcterms:modified xsi:type="dcterms:W3CDTF">2026-03-23T22:14:01Z</dcterms:modified>
</cp:coreProperties>
</file>